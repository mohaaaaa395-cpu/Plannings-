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drawings/vmlDrawing1.vml" ContentType="application/vnd.openxmlformats-officedocument.vmlDrawing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02.11 au 22.11" sheetId="1" state="visible" r:id="rId3"/>
  </sheets>
  <definedNames>
    <definedName function="false" hidden="false" localSheetId="0" name="_xlnm.Print_Area" vbProcedure="false">'02.11 au 22.11'!$N$27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comments1.xml><?xml version="1.0" encoding="utf-8"?>
<comments xmlns="http://schemas.openxmlformats.org/spreadsheetml/2006/main" xmlns:xdr="http://schemas.openxmlformats.org/drawingml/2006/spreadsheetDrawing">
  <authors>
    <author>Unknown Author</author>
  </authors>
  <commentList>
    <comment ref="S9" authorId="0">
      <text>
        <r>
          <rPr>
            <sz val="10"/>
            <rFont val="Arial"/>
            <family val="2"/>
          </rPr>
          <t xml:space="preserve">Congé</t>
        </r>
      </text>
    </comment>
  </commentList>
</comments>
</file>

<file path=xl/sharedStrings.xml><?xml version="1.0" encoding="utf-8"?>
<sst xmlns="http://schemas.openxmlformats.org/spreadsheetml/2006/main" count="99" uniqueCount="39">
  <si>
    <t xml:space="preserve">MAGASIN :</t>
  </si>
  <si>
    <t xml:space="preserve">PARIS SAINT ANTOINE </t>
  </si>
  <si>
    <t xml:space="preserve">Date de mise en place : </t>
  </si>
  <si>
    <t xml:space="preserve">La saisie doit se faire au format 01:00, 15h -&gt; 15:00, et 9h15 -&gt; 9:15</t>
  </si>
  <si>
    <t xml:space="preserve">Yassine du 2 au 8 novembre</t>
  </si>
  <si>
    <t xml:space="preserve">Rose du 2 au 8 novembre</t>
  </si>
  <si>
    <t xml:space="preserve">Jenny du 2 au 8 novembre</t>
  </si>
  <si>
    <t xml:space="preserve">Sara du 2 au 8 novembre</t>
  </si>
  <si>
    <t xml:space="preserve">Livr</t>
  </si>
  <si>
    <t xml:space="preserve">Matin</t>
  </si>
  <si>
    <t xml:space="preserve">Après midi</t>
  </si>
  <si>
    <t xml:space="preserve">Total</t>
  </si>
  <si>
    <t xml:space="preserve">Lundi </t>
  </si>
  <si>
    <t xml:space="preserve">Mardi </t>
  </si>
  <si>
    <t xml:space="preserve">Mercredi </t>
  </si>
  <si>
    <t xml:space="preserve">Jeudi </t>
  </si>
  <si>
    <t xml:space="preserve">Vendredi </t>
  </si>
  <si>
    <t xml:space="preserve">Samedi </t>
  </si>
  <si>
    <t xml:space="preserve">Dimanche</t>
  </si>
  <si>
    <t xml:space="preserve">Durée hebdomadaire : </t>
  </si>
  <si>
    <t xml:space="preserve">Yassine du 9 au 15 novembre</t>
  </si>
  <si>
    <t xml:space="preserve">Rose du 9 au 15 novembre</t>
  </si>
  <si>
    <t xml:space="preserve">Jenny du 9 au 15 novembre</t>
  </si>
  <si>
    <t xml:space="preserve">Sara du 9 au 15 novembre</t>
  </si>
  <si>
    <t xml:space="preserve">Yassine du 16 au 22 novembre</t>
  </si>
  <si>
    <t xml:space="preserve">Rose du 16 au 22 novembre</t>
  </si>
  <si>
    <t xml:space="preserve">Jenny du 16 au 22 novembre</t>
  </si>
  <si>
    <t xml:space="preserve">Sara du 16 au 22 novembre</t>
  </si>
  <si>
    <t xml:space="preserve">Erreurs # :</t>
  </si>
  <si>
    <t xml:space="preserve"># Matin 1 : la matinée seule doit être supérieure à 3h30</t>
  </si>
  <si>
    <t xml:space="preserve"># Matin 2 : la matinée doit être inférieure à 5h40</t>
  </si>
  <si>
    <t xml:space="preserve"># AprèsMidi 1 : l'après-midi seule doit être supérieure à 3h30</t>
  </si>
  <si>
    <t xml:space="preserve"># AprèsMidi 2 : l'après-midi doit être inférieure à 5h40</t>
  </si>
  <si>
    <t xml:space="preserve"># Repas 1 : la pause repas ne doit pas être supérieure à 1h</t>
  </si>
  <si>
    <t xml:space="preserve"># Repas 2 : la pause repas ne doit pas être inférieure à 20min</t>
  </si>
  <si>
    <t xml:space="preserve"># Jour 1 : la journée (matin + après-midi) doit être supérieure à 6h</t>
  </si>
  <si>
    <t xml:space="preserve"># Jour 2 : la journée ne doit pas dépasser 10h</t>
  </si>
  <si>
    <t xml:space="preserve"># Semaine 1 : la durée hebdo du temps partiel est incorrecte (24h &lt; H &lt; 34h55)</t>
  </si>
  <si>
    <t xml:space="preserve"># Semaine 2 : la semaine à temps plein doit faire 35h00</t>
  </si>
</sst>
</file>

<file path=xl/styles.xml><?xml version="1.0" encoding="utf-8"?>
<styleSheet xmlns="http://schemas.openxmlformats.org/spreadsheetml/2006/main">
  <numFmts count="4">
    <numFmt numFmtId="164" formatCode="General"/>
    <numFmt numFmtId="165" formatCode="h:mm;@"/>
    <numFmt numFmtId="166" formatCode="[h]:mm:ss;@"/>
    <numFmt numFmtId="167" formatCode="m/d/yyyy"/>
  </numFmts>
  <fonts count="14">
    <font>
      <sz val="10"/>
      <name val="Comic Sans MS"/>
      <family val="0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u val="single"/>
      <sz val="10"/>
      <name val="Comic Sans MS"/>
      <family val="4"/>
      <charset val="1"/>
    </font>
    <font>
      <sz val="10"/>
      <name val="Comic Sans MS"/>
      <family val="4"/>
      <charset val="1"/>
    </font>
    <font>
      <sz val="10"/>
      <color theme="0"/>
      <name val="Comic Sans MS"/>
      <family val="4"/>
      <charset val="1"/>
    </font>
    <font>
      <b val="true"/>
      <sz val="10"/>
      <name val="Comic Sans MS"/>
      <family val="4"/>
      <charset val="1"/>
    </font>
    <font>
      <i val="true"/>
      <sz val="10"/>
      <name val="Comic Sans MS"/>
      <family val="4"/>
      <charset val="1"/>
    </font>
    <font>
      <u val="single"/>
      <sz val="10"/>
      <color rgb="FFFF0000"/>
      <name val="Comic Sans MS"/>
      <family val="4"/>
      <charset val="1"/>
    </font>
    <font>
      <sz val="10"/>
      <color rgb="FFFF0000"/>
      <name val="Comic Sans MS"/>
      <family val="4"/>
      <charset val="1"/>
    </font>
    <font>
      <sz val="10"/>
      <color rgb="FF0070C0"/>
      <name val="Comic Sans MS"/>
      <family val="4"/>
      <charset val="1"/>
    </font>
    <font>
      <sz val="10"/>
      <color rgb="FF7030A0"/>
      <name val="Comic Sans MS"/>
      <family val="4"/>
      <charset val="1"/>
    </font>
    <font>
      <sz val="1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0" tint="-0.15"/>
        <bgColor rgb="FFC0C0C0"/>
      </patternFill>
    </fill>
  </fills>
  <borders count="16">
    <border diagonalUp="false" diagonalDown="false">
      <left/>
      <right/>
      <top/>
      <bottom/>
      <diagonal/>
    </border>
    <border diagonalUp="false" diagonalDown="false">
      <left style="medium"/>
      <right style="medium"/>
      <top style="medium"/>
      <bottom style="medium"/>
      <diagonal/>
    </border>
    <border diagonalUp="false" diagonalDown="false">
      <left style="thin"/>
      <right style="thin"/>
      <top style="thin"/>
      <bottom style="thin"/>
      <diagonal/>
    </border>
    <border diagonalUp="false" diagonalDown="false">
      <left style="medium"/>
      <right style="medium"/>
      <top style="medium"/>
      <bottom/>
      <diagonal/>
    </border>
    <border diagonalUp="false" diagonalDown="false">
      <left style="thin"/>
      <right style="thin"/>
      <top/>
      <bottom style="thin"/>
      <diagonal/>
    </border>
    <border diagonalUp="false" diagonalDown="false">
      <left style="medium"/>
      <right/>
      <top style="medium"/>
      <bottom style="medium"/>
      <diagonal/>
    </border>
    <border diagonalUp="false" diagonalDown="false">
      <left/>
      <right/>
      <top style="medium"/>
      <bottom style="medium"/>
      <diagonal/>
    </border>
    <border diagonalUp="false" diagonalDown="false">
      <left/>
      <right style="medium"/>
      <top style="medium"/>
      <bottom style="medium"/>
      <diagonal/>
    </border>
    <border diagonalUp="false" diagonalDown="false">
      <left/>
      <right/>
      <top style="medium"/>
      <bottom/>
      <diagonal/>
    </border>
    <border diagonalUp="false" diagonalDown="false">
      <left style="medium"/>
      <right/>
      <top style="medium"/>
      <bottom/>
      <diagonal/>
    </border>
    <border diagonalUp="false" diagonalDown="false">
      <left/>
      <right style="medium"/>
      <top style="medium"/>
      <bottom/>
      <diagonal/>
    </border>
    <border diagonalUp="false" diagonalDown="false">
      <left style="medium"/>
      <right/>
      <top/>
      <bottom/>
      <diagonal/>
    </border>
    <border diagonalUp="false" diagonalDown="false">
      <left/>
      <right style="medium"/>
      <top/>
      <bottom/>
      <diagonal/>
    </border>
    <border diagonalUp="false" diagonalDown="false">
      <left style="medium"/>
      <right/>
      <top/>
      <bottom style="medium"/>
      <diagonal/>
    </border>
    <border diagonalUp="false" diagonalDown="false">
      <left/>
      <right/>
      <top/>
      <bottom style="medium"/>
      <diagonal/>
    </border>
    <border diagonalUp="false" diagonalDown="false">
      <left/>
      <right style="medium"/>
      <top/>
      <bottom style="medium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6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1" xfId="0" applyFont="true" applyBorder="true" applyAlignment="true" applyProtection="true">
      <alignment horizontal="center" vertical="bottom" textRotation="0" wrapText="false" indent="0" shrinkToFit="false"/>
      <protection locked="fals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true">
      <alignment horizontal="center" vertical="bottom" textRotation="0" wrapText="false" indent="0" shrinkToFit="false"/>
      <protection locked="false" hidden="false"/>
    </xf>
    <xf numFmtId="167" fontId="5" fillId="0" borderId="2" xfId="0" applyFont="true" applyBorder="true" applyAlignment="true" applyProtection="true">
      <alignment horizontal="center" vertical="bottom" textRotation="0" wrapText="false" indent="0" shrinkToFit="false"/>
      <protection locked="false" hidden="false"/>
    </xf>
    <xf numFmtId="164" fontId="7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5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5" fillId="0" borderId="3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5" fillId="0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2" borderId="2" xfId="0" applyFont="true" applyBorder="true" applyAlignment="false" applyProtection="true">
      <alignment horizontal="general" vertical="bottom" textRotation="0" wrapText="false" indent="0" shrinkToFit="false"/>
      <protection locked="false" hidden="false"/>
    </xf>
    <xf numFmtId="165" fontId="5" fillId="2" borderId="4" xfId="0" applyFont="true" applyBorder="true" applyAlignment="false" applyProtection="true">
      <alignment horizontal="general" vertical="bottom" textRotation="0" wrapText="false" indent="0" shrinkToFit="false"/>
      <protection locked="false" hidden="false"/>
    </xf>
    <xf numFmtId="165" fontId="5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5" fontId="5" fillId="0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5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5" fillId="0" borderId="6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6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6" fontId="7" fillId="0" borderId="7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7" fillId="0" borderId="6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8" fillId="0" borderId="8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9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0" fillId="0" borderId="8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0" fillId="0" borderId="1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0" fillId="0" borderId="1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0" fillId="0" borderId="1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1" fillId="0" borderId="1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2" fillId="0" borderId="1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2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0" fillId="0" borderId="13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0" fillId="0" borderId="14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0" fillId="0" borderId="15" xfId="0" applyFont="true" applyBorder="tru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7030A0"/>
      <rgbColor rgb="FFFFFFCC"/>
      <rgbColor rgb="FFCCFFFF"/>
      <rgbColor rgb="FF660066"/>
      <rgbColor rgb="FFFF8080"/>
      <rgbColor rgb="FF0070C0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BF90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Thème Office">
  <a:themeElements>
    <a:clrScheme name="Offic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 pitchFamily="0" charset="1"/>
        <a:ea typeface=""/>
        <a:cs typeface=""/>
      </a:majorFont>
      <a:minorFont>
        <a:latin typeface="Calibri" panose="020F0502020204030204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vmlDrawing" Target="../drawings/vmlDrawing1.v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BF9000"/>
    <pageSetUpPr fitToPage="false"/>
  </sheetPr>
  <dimension ref="A1:AG56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D23" activeCellId="0" sqref="D23"/>
    </sheetView>
  </sheetViews>
  <sheetFormatPr defaultColWidth="10.58203125" defaultRowHeight="15" zeroHeight="false" outlineLevelRow="0" outlineLevelCol="0"/>
  <cols>
    <col collapsed="false" customWidth="true" hidden="false" outlineLevel="0" max="2" min="2" style="0" width="4.63"/>
    <col collapsed="false" customWidth="true" hidden="false" outlineLevel="0" max="4" min="3" style="0" width="6"/>
    <col collapsed="false" customWidth="true" hidden="false" outlineLevel="0" max="5" min="5" style="0" width="4.5"/>
    <col collapsed="false" customWidth="true" hidden="false" outlineLevel="0" max="7" min="6" style="0" width="6.12"/>
    <col collapsed="false" customWidth="true" hidden="false" outlineLevel="0" max="8" min="8" style="0" width="4.5"/>
    <col collapsed="false" customWidth="true" hidden="false" outlineLevel="0" max="9" min="9" style="0" width="11.37"/>
    <col collapsed="false" customWidth="true" hidden="false" outlineLevel="0" max="11" min="10" style="0" width="5.88"/>
    <col collapsed="false" customWidth="true" hidden="false" outlineLevel="0" max="12" min="12" style="0" width="6.12"/>
    <col collapsed="false" customWidth="true" hidden="false" outlineLevel="0" max="13" min="13" style="0" width="4.75"/>
    <col collapsed="false" customWidth="true" hidden="false" outlineLevel="0" max="14" min="14" style="0" width="6"/>
    <col collapsed="false" customWidth="true" hidden="false" outlineLevel="0" max="15" min="15" style="0" width="5.88"/>
    <col collapsed="false" customWidth="true" hidden="false" outlineLevel="0" max="16" min="16" style="0" width="4.87"/>
    <col collapsed="false" customWidth="true" hidden="false" outlineLevel="0" max="17" min="17" style="0" width="11.37"/>
    <col collapsed="false" customWidth="true" hidden="false" outlineLevel="0" max="18" min="18" style="0" width="5.63"/>
    <col collapsed="false" customWidth="true" hidden="false" outlineLevel="0" max="20" min="19" style="0" width="5.88"/>
    <col collapsed="false" customWidth="true" hidden="false" outlineLevel="0" max="21" min="21" style="0" width="4.63"/>
    <col collapsed="false" customWidth="true" hidden="false" outlineLevel="0" max="22" min="22" style="0" width="5.88"/>
    <col collapsed="false" customWidth="true" hidden="false" outlineLevel="0" max="23" min="23" style="0" width="6"/>
    <col collapsed="false" customWidth="true" hidden="false" outlineLevel="0" max="24" min="24" style="0" width="5.12"/>
    <col collapsed="false" customWidth="true" hidden="false" outlineLevel="0" max="25" min="25" style="0" width="11.12"/>
    <col collapsed="false" customWidth="true" hidden="false" outlineLevel="0" max="26" min="26" style="0" width="4.63"/>
    <col collapsed="false" customWidth="true" hidden="false" outlineLevel="0" max="27" min="27" style="0" width="5.37"/>
    <col collapsed="false" customWidth="true" hidden="false" outlineLevel="0" max="28" min="28" style="0" width="6"/>
    <col collapsed="false" customWidth="true" hidden="false" outlineLevel="0" max="29" min="29" style="0" width="4.87"/>
    <col collapsed="false" customWidth="true" hidden="false" outlineLevel="0" max="30" min="30" style="0" width="5.12"/>
    <col collapsed="false" customWidth="true" hidden="false" outlineLevel="0" max="32" min="31" style="0" width="5.63"/>
    <col collapsed="false" customWidth="true" hidden="false" outlineLevel="0" max="33" min="33" style="0" width="11.12"/>
  </cols>
  <sheetData>
    <row r="1" customFormat="false" ht="15.75" hidden="false" customHeight="true" outlineLevel="0" collapsed="false">
      <c r="A1" s="1" t="s">
        <v>0</v>
      </c>
      <c r="B1" s="2" t="s">
        <v>1</v>
      </c>
      <c r="C1" s="2"/>
      <c r="D1" s="2"/>
      <c r="E1" s="2"/>
      <c r="F1" s="2"/>
      <c r="G1" s="3"/>
      <c r="H1" s="3"/>
      <c r="I1" s="3"/>
    </row>
    <row r="2" customFormat="false" ht="15" hidden="false" customHeight="false" outlineLevel="0" collapsed="false">
      <c r="A2" s="4" t="n">
        <v>0.0138888888888889</v>
      </c>
      <c r="B2" s="4" t="n">
        <v>0.0416666666666667</v>
      </c>
      <c r="C2" s="4" t="n">
        <v>0.145833333333333</v>
      </c>
      <c r="D2" s="4" t="n">
        <v>0.236111111111111</v>
      </c>
      <c r="E2" s="4" t="n">
        <v>0.25</v>
      </c>
      <c r="F2" s="4" t="n">
        <v>0.416666666666667</v>
      </c>
      <c r="G2" s="4" t="n">
        <v>1</v>
      </c>
      <c r="H2" s="5" t="n">
        <v>1.45486111111111</v>
      </c>
      <c r="I2" s="5" t="n">
        <v>1.45833333333333</v>
      </c>
    </row>
    <row r="3" customFormat="false" ht="15" hidden="false" customHeight="false" outlineLevel="0" collapsed="false">
      <c r="A3" s="1" t="s">
        <v>2</v>
      </c>
      <c r="B3" s="6"/>
      <c r="C3" s="6"/>
      <c r="D3" s="7" t="n">
        <v>46328</v>
      </c>
      <c r="E3" s="7"/>
      <c r="F3" s="7"/>
      <c r="G3" s="7"/>
      <c r="H3" s="4"/>
      <c r="I3" s="4"/>
    </row>
    <row r="4" customFormat="false" ht="15" hidden="false" customHeight="false" outlineLevel="0" collapsed="false">
      <c r="A4" s="1" t="s">
        <v>3</v>
      </c>
      <c r="B4" s="3"/>
      <c r="C4" s="3"/>
      <c r="D4" s="3"/>
      <c r="E4" s="3"/>
      <c r="F4" s="3"/>
      <c r="G4" s="3"/>
      <c r="H4" s="3"/>
      <c r="I4" s="3"/>
    </row>
    <row r="5" customFormat="false" ht="15.75" hidden="false" customHeight="true" outlineLevel="0" collapsed="false">
      <c r="A5" s="1"/>
      <c r="B5" s="3"/>
      <c r="C5" s="3"/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S5" s="3"/>
      <c r="T5" s="3"/>
      <c r="U5" s="3"/>
      <c r="V5" s="3"/>
      <c r="W5" s="3"/>
      <c r="X5" s="3"/>
      <c r="Y5" s="3"/>
      <c r="AA5" s="3"/>
      <c r="AB5" s="3"/>
      <c r="AC5" s="3"/>
      <c r="AD5" s="3"/>
      <c r="AE5" s="3"/>
      <c r="AF5" s="3"/>
      <c r="AG5" s="3"/>
    </row>
    <row r="6" customFormat="false" ht="17.25" hidden="false" customHeight="true" outlineLevel="0" collapsed="false">
      <c r="A6" s="3"/>
      <c r="B6" s="3"/>
      <c r="C6" s="8" t="s">
        <v>4</v>
      </c>
      <c r="D6" s="8"/>
      <c r="E6" s="8"/>
      <c r="F6" s="8"/>
      <c r="G6" s="8"/>
      <c r="H6" s="8"/>
      <c r="I6" s="8"/>
      <c r="J6" s="3"/>
      <c r="K6" s="8" t="s">
        <v>5</v>
      </c>
      <c r="L6" s="8"/>
      <c r="M6" s="8"/>
      <c r="N6" s="8"/>
      <c r="O6" s="8"/>
      <c r="P6" s="8"/>
      <c r="Q6" s="8"/>
      <c r="S6" s="8" t="s">
        <v>6</v>
      </c>
      <c r="T6" s="8"/>
      <c r="U6" s="8"/>
      <c r="V6" s="8"/>
      <c r="W6" s="8"/>
      <c r="X6" s="8"/>
      <c r="Y6" s="8"/>
      <c r="AA6" s="8" t="s">
        <v>7</v>
      </c>
      <c r="AB6" s="8"/>
      <c r="AC6" s="8"/>
      <c r="AD6" s="8"/>
      <c r="AE6" s="8"/>
      <c r="AF6" s="8"/>
      <c r="AG6" s="8"/>
    </row>
    <row r="7" customFormat="false" ht="15.75" hidden="false" customHeight="true" outlineLevel="0" collapsed="false">
      <c r="A7" s="3"/>
      <c r="B7" s="3"/>
      <c r="C7" s="3"/>
      <c r="D7" s="3"/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S7" s="3"/>
      <c r="T7" s="3"/>
      <c r="U7" s="3"/>
      <c r="V7" s="3"/>
      <c r="W7" s="3"/>
      <c r="X7" s="3"/>
      <c r="Y7" s="3"/>
      <c r="AA7" s="3"/>
      <c r="AB7" s="3"/>
      <c r="AC7" s="3"/>
      <c r="AD7" s="3"/>
      <c r="AE7" s="3"/>
      <c r="AF7" s="3"/>
      <c r="AG7" s="3"/>
    </row>
    <row r="8" customFormat="false" ht="15.75" hidden="false" customHeight="true" outlineLevel="0" collapsed="false">
      <c r="A8" s="3"/>
      <c r="B8" s="3" t="s">
        <v>8</v>
      </c>
      <c r="C8" s="9" t="s">
        <v>9</v>
      </c>
      <c r="D8" s="9"/>
      <c r="E8" s="10"/>
      <c r="F8" s="9" t="s">
        <v>10</v>
      </c>
      <c r="G8" s="9"/>
      <c r="H8" s="10"/>
      <c r="I8" s="9" t="s">
        <v>11</v>
      </c>
      <c r="J8" s="3"/>
      <c r="K8" s="9" t="s">
        <v>9</v>
      </c>
      <c r="L8" s="9"/>
      <c r="M8" s="10"/>
      <c r="N8" s="9" t="s">
        <v>10</v>
      </c>
      <c r="O8" s="9"/>
      <c r="P8" s="10"/>
      <c r="Q8" s="9" t="s">
        <v>11</v>
      </c>
      <c r="S8" s="9" t="s">
        <v>9</v>
      </c>
      <c r="T8" s="9"/>
      <c r="U8" s="10"/>
      <c r="V8" s="9" t="s">
        <v>10</v>
      </c>
      <c r="W8" s="9"/>
      <c r="X8" s="10"/>
      <c r="Y8" s="11" t="s">
        <v>11</v>
      </c>
      <c r="AA8" s="9" t="s">
        <v>9</v>
      </c>
      <c r="AB8" s="9"/>
      <c r="AC8" s="10"/>
      <c r="AD8" s="9" t="s">
        <v>10</v>
      </c>
      <c r="AE8" s="9"/>
      <c r="AF8" s="10"/>
      <c r="AG8" s="11" t="s">
        <v>11</v>
      </c>
    </row>
    <row r="9" customFormat="false" ht="15" hidden="false" customHeight="false" outlineLevel="0" collapsed="false">
      <c r="A9" s="12" t="s">
        <v>12</v>
      </c>
      <c r="B9" s="13"/>
      <c r="C9" s="14" t="n">
        <v>0.486111111111111</v>
      </c>
      <c r="D9" s="14" t="n">
        <v>0.625</v>
      </c>
      <c r="E9" s="15" t="n">
        <f aca="false">IF(C9="","",D9-C9)</f>
        <v>0.138888888888889</v>
      </c>
      <c r="F9" s="14" t="n">
        <v>0.666666666666667</v>
      </c>
      <c r="G9" s="14" t="n">
        <v>0.819444444444444</v>
      </c>
      <c r="H9" s="15" t="n">
        <f aca="false">IF(F9="","",G9-F9)</f>
        <v>0.152777777777778</v>
      </c>
      <c r="I9" s="16" t="n">
        <f aca="false">IF(H9="",IF(E9="","",IF(E9&lt;$C$2,"# Matin 1",IF(E9&gt;$D$2,"# Matin 2",E9))
),IF(E9="",IF(H9&lt;$C$2,"# AprèsMidi 1",IF(H9&gt;$D$2,"# AprèsMidi 2",H9)
),IF(H9&gt;$D$2,"# AprèsMidi 2",IF(E9&gt;$D$2,"# Matin 2",IF((F9-D9)&gt;$B$2,"# Repas 1", IF((F9-D9)&lt;$A$2,"# Repas 2",IF((E9+H9)&lt;$E$2,"# Jour 1",IF((E9+H9)&gt;$F$2,"# Jour 2",E9+H9))))))))</f>
        <v>0.291666666666667</v>
      </c>
      <c r="J9" s="3"/>
      <c r="K9" s="14" t="n">
        <v>0.409722222222222</v>
      </c>
      <c r="L9" s="14" t="n">
        <v>0.583333333333333</v>
      </c>
      <c r="M9" s="15" t="n">
        <f aca="false">IF(K9="","",L9-K9)</f>
        <v>0.173611111111111</v>
      </c>
      <c r="N9" s="14" t="n">
        <v>0.625</v>
      </c>
      <c r="O9" s="14" t="n">
        <v>0.743055555555556</v>
      </c>
      <c r="P9" s="15" t="n">
        <f aca="false">IF(N9="","",O9-N9)</f>
        <v>0.118055555555556</v>
      </c>
      <c r="Q9" s="16" t="n">
        <f aca="false">IF(P9="",IF(M9="","",IF(M9&lt;$C$2,"# Matin 1",IF(M9&gt;$D$2,"# Matin 2",M9))
),IF(M9="",IF(P9&lt;$C$2,"# AprèsMidi 1",IF(P9&gt;$D$2,"# AprèsMidi 2",P9)
),IF(P9&gt;$D$2,"# AprèsMidi 2",IF(M9&gt;$D$2,"# Matin 2",IF((N9-L9)&gt;$B$2,"# Repas 1", IF((N9-L9)&lt;$A$2,"# Repas 2",IF((M9+P9)&lt;$E$2,"# Jour 1",IF((M9+P9)&gt;$F$2,"# Jour 2",M9+P9))))))))</f>
        <v>0.291666666666667</v>
      </c>
      <c r="S9" s="14"/>
      <c r="T9" s="14"/>
      <c r="U9" s="15" t="str">
        <f aca="false">IF(S9="","",T9-S9)</f>
        <v/>
      </c>
      <c r="V9" s="14"/>
      <c r="W9" s="14"/>
      <c r="X9" s="15" t="str">
        <f aca="false">IF(V9="","",W9-V9)</f>
        <v/>
      </c>
      <c r="Y9" s="16" t="str">
        <f aca="false">IF(X9="",IF(U9="","",IF(U9&lt;$C$2,"# Matin 1",IF(U9&gt;$D$2,"# Matin 2",U9))
),IF(U9="",IF(X9&lt;$C$2,"# AprèsMidi 1",IF(X9&gt;$D$2,"# AprèsMidi 2",X9)
),IF(X9&gt;$D$2,"# AprèsMidi 2",IF(U9&gt;$D$2,"# Matin 2",IF((V9-T9)&gt;$B$2,"# Repas 1", IF((V9-T9)&lt;$A$2,"# Repas 2",IF((U9+X9)&lt;$E$2,"# Jour 1",IF((U9+X9)&gt;$F$2,"# Jour 2",U9+X9))))))))</f>
        <v/>
      </c>
      <c r="AA9" s="14"/>
      <c r="AB9" s="14"/>
      <c r="AC9" s="15" t="str">
        <f aca="false">IF(AA9="","",AB9-AA9)</f>
        <v/>
      </c>
      <c r="AD9" s="14"/>
      <c r="AE9" s="14"/>
      <c r="AF9" s="15" t="str">
        <f aca="false">IF(AD9="","",AE9-AD9)</f>
        <v/>
      </c>
      <c r="AG9" s="16" t="str">
        <f aca="false">IF(AF9="",IF(AC9="","",IF(AC9&lt;$C$2,"# Matin 1",IF(AC9&gt;$D$2,"# Matin 2",AC9))
),IF(AC9="",IF(AF9&lt;$C$2,"# AprèsMidi 1",IF(AF9&gt;$D$2,"# AprèsMidi 2",AF9)
),IF(AF9&gt;$D$2,"# AprèsMidi 2",IF(AC9&gt;$D$2,"# Matin 2",IF((AD9-AB9)&gt;$B$2,"# Repas 1", IF((AD9-AB9)&lt;$A$2,"# Repas 2",IF((AC9+AF9)&lt;$E$2,"# Jour 1",IF((AC9+AF9)&gt;$F$2,"# Jour 2",AC9+AF9))))))))</f>
        <v/>
      </c>
    </row>
    <row r="10" customFormat="false" ht="15" hidden="false" customHeight="false" outlineLevel="0" collapsed="false">
      <c r="A10" s="12" t="s">
        <v>13</v>
      </c>
      <c r="B10" s="13"/>
      <c r="C10" s="14" t="n">
        <v>0.409722222222222</v>
      </c>
      <c r="D10" s="14" t="n">
        <v>0.583333333333333</v>
      </c>
      <c r="E10" s="15" t="n">
        <f aca="false">IF(C10="","",D10-C10)</f>
        <v>0.173611111111111</v>
      </c>
      <c r="F10" s="14" t="n">
        <v>0.625</v>
      </c>
      <c r="G10" s="14" t="n">
        <v>0.743055555555556</v>
      </c>
      <c r="H10" s="15" t="n">
        <f aca="false">IF(F10="","",G10-F10)</f>
        <v>0.118055555555556</v>
      </c>
      <c r="I10" s="16" t="n">
        <f aca="false">IF(H10="",IF(E10="","",IF(E10&lt;$C$2,"# Matin 1",IF(E10&gt;$D$2,"# Matin 2",E10))
),IF(E10="",IF(H10&lt;$C$2,"# AprèsMidi 1",IF(H10&gt;$D$2,"# AprèsMidi 2",H10)
),IF(H10&gt;$D$2,"# AprèsMidi 2",IF(E10&gt;$D$2,"# Matin 2",IF((F10-D10)&gt;$B$2,"# Repas 1", IF((F10-D10)&lt;$A$2,"# Repas 2",IF((E10+H10)&lt;$E$2,"# Jour 1",IF((E10+H10)&gt;$F$2,"# Jour 2",E10+H10))))))))</f>
        <v>0.291666666666667</v>
      </c>
      <c r="J10" s="3"/>
      <c r="K10" s="14" t="n">
        <v>0.409722222222222</v>
      </c>
      <c r="L10" s="14" t="n">
        <v>0.583333333333333</v>
      </c>
      <c r="M10" s="15" t="n">
        <f aca="false">IF(K10="","",L10-K10)</f>
        <v>0.173611111111111</v>
      </c>
      <c r="N10" s="14" t="n">
        <v>0.625</v>
      </c>
      <c r="O10" s="14" t="n">
        <v>0.743055555555556</v>
      </c>
      <c r="P10" s="15" t="n">
        <f aca="false">IF(N10="","",O10-N10)</f>
        <v>0.118055555555556</v>
      </c>
      <c r="Q10" s="16" t="n">
        <f aca="false">IF(P10="",IF(M10="","",IF(M10&lt;$C$2,"# Matin 1",IF(M10&gt;$D$2,"# Matin 2",M10))
),IF(M10="",IF(P10&lt;$C$2,"# AprèsMidi 1",IF(P10&gt;$D$2,"# AprèsMidi 2",P10)
),IF(P10&gt;$D$2,"# AprèsMidi 2",IF(M10&gt;$D$2,"# Matin 2",IF((N10-L10)&gt;$B$2,"# Repas 1", IF((N10-L10)&lt;$A$2,"# Repas 2",IF((M10+P10)&lt;$E$2,"# Jour 1",IF((M10+P10)&gt;$F$2,"# Jour 2",M10+P10))))))))</f>
        <v>0.291666666666667</v>
      </c>
      <c r="S10" s="14" t="n">
        <v>0.517361111111111</v>
      </c>
      <c r="T10" s="14" t="n">
        <v>0.625</v>
      </c>
      <c r="U10" s="15" t="n">
        <f aca="false">IF(S10="","",T10-S10)</f>
        <v>0.107638888888889</v>
      </c>
      <c r="V10" s="14" t="n">
        <v>0.666666666666667</v>
      </c>
      <c r="W10" s="14" t="n">
        <v>0.819444444444444</v>
      </c>
      <c r="X10" s="15" t="n">
        <f aca="false">IF(V10="","",W10-V10)</f>
        <v>0.152777777777778</v>
      </c>
      <c r="Y10" s="16" t="n">
        <f aca="false">IF(X10="",IF(U10="","",IF(U10&lt;$C$2,"# Matin 1",IF(U10&gt;$D$2,"# Matin 2",U10))
),IF(U10="",IF(X10&lt;$C$2,"# AprèsMidi 1",IF(X10&gt;$D$2,"# AprèsMidi 2",X10)
),IF(X10&gt;$D$2,"# AprèsMidi 2",IF(U10&gt;$D$2,"# Matin 2",IF((V10-T10)&gt;$B$2,"# Repas 1", IF((V10-T10)&lt;$A$2,"# Repas 2",IF((U10+X10)&lt;$E$2,"# Jour 1",IF((U10+X10)&gt;$F$2,"# Jour 2",U10+X10))))))))</f>
        <v>0.260416666666667</v>
      </c>
      <c r="AA10" s="14"/>
      <c r="AB10" s="14"/>
      <c r="AC10" s="15" t="str">
        <f aca="false">IF(AA10="","",AB10-AA10)</f>
        <v/>
      </c>
      <c r="AD10" s="14"/>
      <c r="AE10" s="14"/>
      <c r="AF10" s="15" t="str">
        <f aca="false">IF(AD10="","",AE10-AD10)</f>
        <v/>
      </c>
      <c r="AG10" s="16" t="str">
        <f aca="false">IF(AF10="",IF(AC10="","",IF(AC10&lt;$C$2,"# Matin 1",IF(AC10&gt;$D$2,"# Matin 2",AC10))
),IF(AC10="",IF(AF10&lt;$C$2,"# AprèsMidi 1",IF(AF10&gt;$D$2,"# AprèsMidi 2",AF10)
),IF(AF10&gt;$D$2,"# AprèsMidi 2",IF(AC10&gt;$D$2,"# Matin 2",IF((AD10-AB10)&gt;$B$2,"# Repas 1", IF((AD10-AB10)&lt;$A$2,"# Repas 2",IF((AC10+AF10)&lt;$E$2,"# Jour 1",IF((AC10+AF10)&gt;$F$2,"# Jour 2",AC10+AF10))))))))</f>
        <v/>
      </c>
    </row>
    <row r="11" customFormat="false" ht="15" hidden="false" customHeight="false" outlineLevel="0" collapsed="false">
      <c r="A11" s="12" t="s">
        <v>14</v>
      </c>
      <c r="B11" s="13"/>
      <c r="C11" s="14" t="n">
        <v>0.486111111111111</v>
      </c>
      <c r="D11" s="14" t="n">
        <v>0.625</v>
      </c>
      <c r="E11" s="15" t="n">
        <f aca="false">IF(C11="","",D11-C11)</f>
        <v>0.138888888888889</v>
      </c>
      <c r="F11" s="14" t="n">
        <v>0.666666666666667</v>
      </c>
      <c r="G11" s="14" t="n">
        <v>0.819444444444444</v>
      </c>
      <c r="H11" s="15" t="n">
        <f aca="false">IF(F11="","",G11-F11)</f>
        <v>0.152777777777778</v>
      </c>
      <c r="I11" s="16" t="n">
        <f aca="false">IF(H11="",IF(E11="","",IF(E11&lt;$C$2,"# Matin 1",IF(E11&gt;$D$2,"# Matin 2",E11))
),IF(E11="",IF(H11&lt;$C$2,"# AprèsMidi 1",IF(H11&gt;$D$2,"# AprèsMidi 2",H11)
),IF(H11&gt;$D$2,"# AprèsMidi 2",IF(E11&gt;$D$2,"# Matin 2",IF((F11-D11)&gt;$B$2,"# Repas 1", IF((F11-D11)&lt;$A$2,"# Repas 2",IF((E11+H11)&lt;$E$2,"# Jour 1",IF((E11+H11)&gt;$F$2,"# Jour 2",E11+H11))))))))</f>
        <v>0.291666666666667</v>
      </c>
      <c r="J11" s="3"/>
      <c r="K11" s="14" t="n">
        <v>0.409722222222222</v>
      </c>
      <c r="L11" s="14" t="n">
        <v>0.583333333333333</v>
      </c>
      <c r="M11" s="15" t="n">
        <f aca="false">IF(K11="","",L11-K11)</f>
        <v>0.173611111111111</v>
      </c>
      <c r="N11" s="14" t="n">
        <v>0.625</v>
      </c>
      <c r="O11" s="14" t="n">
        <v>0.743055555555556</v>
      </c>
      <c r="P11" s="15" t="n">
        <f aca="false">IF(N11="","",O11-N11)</f>
        <v>0.118055555555556</v>
      </c>
      <c r="Q11" s="16" t="n">
        <f aca="false">IF(P11="",IF(M11="","",IF(M11&lt;$C$2,"# Matin 1",IF(M11&gt;$D$2,"# Matin 2",M11))
),IF(M11="",IF(P11&lt;$C$2,"# AprèsMidi 1",IF(P11&gt;$D$2,"# AprèsMidi 2",P11)
),IF(P11&gt;$D$2,"# AprèsMidi 2",IF(M11&gt;$D$2,"# Matin 2",IF((N11-L11)&gt;$B$2,"# Repas 1", IF((N11-L11)&lt;$A$2,"# Repas 2",IF((M11+P11)&lt;$E$2,"# Jour 1",IF((M11+P11)&gt;$F$2,"# Jour 2",M11+P11))))))))</f>
        <v>0.291666666666667</v>
      </c>
      <c r="S11" s="14"/>
      <c r="T11" s="14"/>
      <c r="U11" s="15" t="str">
        <f aca="false">IF(S11="","",T11-S11)</f>
        <v/>
      </c>
      <c r="V11" s="14"/>
      <c r="W11" s="14"/>
      <c r="X11" s="15" t="str">
        <f aca="false">IF(V11="","",W11-V11)</f>
        <v/>
      </c>
      <c r="Y11" s="16" t="str">
        <f aca="false">IF(X11="",IF(U11="","",IF(U11&lt;$C$2,"# Matin 1",IF(U11&gt;$D$2,"# Matin 2",U11))
),IF(U11="",IF(X11&lt;$C$2,"# AprèsMidi 1",IF(X11&gt;$D$2,"# AprèsMidi 2",X11)
),IF(X11&gt;$D$2,"# AprèsMidi 2",IF(U11&gt;$D$2,"# Matin 2",IF((V11-T11)&gt;$B$2,"# Repas 1", IF((V11-T11)&lt;$A$2,"# Repas 2",IF((U11+X11)&lt;$E$2,"# Jour 1",IF((U11+X11)&gt;$F$2,"# Jour 2",U11+X11))))))))</f>
        <v/>
      </c>
      <c r="AA11" s="14"/>
      <c r="AB11" s="14"/>
      <c r="AC11" s="15" t="str">
        <f aca="false">IF(AA11="","",AB11-AA11)</f>
        <v/>
      </c>
      <c r="AD11" s="14"/>
      <c r="AE11" s="14"/>
      <c r="AF11" s="15" t="str">
        <f aca="false">IF(AD11="","",AE11-AD11)</f>
        <v/>
      </c>
      <c r="AG11" s="16" t="str">
        <f aca="false">IF(AF11="",IF(AC11="","",IF(AC11&lt;$C$2,"# Matin 1",IF(AC11&gt;$D$2,"# Matin 2",AC11))
),IF(AC11="",IF(AF11&lt;$C$2,"# AprèsMidi 1",IF(AF11&gt;$D$2,"# AprèsMidi 2",AF11)
),IF(AF11&gt;$D$2,"# AprèsMidi 2",IF(AC11&gt;$D$2,"# Matin 2",IF((AD11-AB11)&gt;$B$2,"# Repas 1", IF((AD11-AB11)&lt;$A$2,"# Repas 2",IF((AC11+AF11)&lt;$E$2,"# Jour 1",IF((AC11+AF11)&gt;$F$2,"# Jour 2",AC11+AF11))))))))</f>
        <v/>
      </c>
    </row>
    <row r="12" customFormat="false" ht="15" hidden="false" customHeight="false" outlineLevel="0" collapsed="false">
      <c r="A12" s="12" t="s">
        <v>15</v>
      </c>
      <c r="B12" s="13"/>
      <c r="C12" s="14" t="n">
        <v>0.458333333333333</v>
      </c>
      <c r="D12" s="14" t="n">
        <v>0.583333333333333</v>
      </c>
      <c r="E12" s="15" t="n">
        <f aca="false">IF(C12="","",D12-C12)</f>
        <v>0.125</v>
      </c>
      <c r="F12" s="14" t="n">
        <v>0.625</v>
      </c>
      <c r="G12" s="14" t="n">
        <v>0.791666666666667</v>
      </c>
      <c r="H12" s="15" t="n">
        <f aca="false">IF(F12="","",G12-F12)</f>
        <v>0.166666666666667</v>
      </c>
      <c r="I12" s="16" t="n">
        <f aca="false">IF(H12="",IF(E12="","",IF(E12&lt;$C$2,"# Matin 1",IF(E12&gt;$D$2,"# Matin 2",E12))
),IF(E12="",IF(H12&lt;$C$2,"# AprèsMidi 1",IF(H12&gt;$D$2,"# AprèsMidi 2",H12)
),IF(H12&gt;$D$2,"# AprèsMidi 2",IF(E12&gt;$D$2,"# Matin 2",IF((F12-D12)&gt;$B$2,"# Repas 1", IF((F12-D12)&lt;$A$2,"# Repas 2",IF((E12+H12)&lt;$E$2,"# Jour 1",IF((E12+H12)&gt;$F$2,"# Jour 2",E12+H12))))))))</f>
        <v>0.291666666666667</v>
      </c>
      <c r="J12" s="3"/>
      <c r="K12" s="14" t="n">
        <v>0.409722222222222</v>
      </c>
      <c r="L12" s="14" t="n">
        <v>0.583333333333333</v>
      </c>
      <c r="M12" s="15" t="n">
        <f aca="false">IF(K12="","",L12-K12)</f>
        <v>0.173611111111111</v>
      </c>
      <c r="N12" s="14" t="n">
        <v>0.625</v>
      </c>
      <c r="O12" s="14" t="n">
        <v>0.743055555555556</v>
      </c>
      <c r="P12" s="15" t="n">
        <f aca="false">IF(N12="","",O12-N12)</f>
        <v>0.118055555555556</v>
      </c>
      <c r="Q12" s="16" t="n">
        <f aca="false">IF(P12="",IF(M12="","",IF(M12&lt;$C$2,"# Matin 1",IF(M12&gt;$D$2,"# Matin 2",M12))
),IF(M12="",IF(P12&lt;$C$2,"# AprèsMidi 1",IF(P12&gt;$D$2,"# AprèsMidi 2",P12)
),IF(P12&gt;$D$2,"# AprèsMidi 2",IF(M12&gt;$D$2,"# Matin 2",IF((N12-L12)&gt;$B$2,"# Repas 1", IF((N12-L12)&lt;$A$2,"# Repas 2",IF((M12+P12)&lt;$E$2,"# Jour 1",IF((M12+P12)&gt;$F$2,"# Jour 2",M12+P12))))))))</f>
        <v>0.291666666666667</v>
      </c>
      <c r="S12" s="14" t="n">
        <v>0.517361111111111</v>
      </c>
      <c r="T12" s="14" t="n">
        <v>0.625</v>
      </c>
      <c r="U12" s="15" t="n">
        <f aca="false">IF(S12="","",T12-S12)</f>
        <v>0.107638888888889</v>
      </c>
      <c r="V12" s="14" t="n">
        <v>0.666666666666667</v>
      </c>
      <c r="W12" s="14" t="n">
        <v>0.819444444444444</v>
      </c>
      <c r="X12" s="15" t="n">
        <f aca="false">IF(V12="","",W12-V12)</f>
        <v>0.152777777777778</v>
      </c>
      <c r="Y12" s="16" t="n">
        <f aca="false">IF(X12="",IF(U12="","",IF(U12&lt;$C$2,"# Matin 1",IF(U12&gt;$D$2,"# Matin 2",U12))
),IF(U12="",IF(X12&lt;$C$2,"# AprèsMidi 1",IF(X12&gt;$D$2,"# AprèsMidi 2",X12)
),IF(X12&gt;$D$2,"# AprèsMidi 2",IF(U12&gt;$D$2,"# Matin 2",IF((V12-T12)&gt;$B$2,"# Repas 1", IF((V12-T12)&lt;$A$2,"# Repas 2",IF((U12+X12)&lt;$E$2,"# Jour 1",IF((U12+X12)&gt;$F$2,"# Jour 2",U12+X12))))))))</f>
        <v>0.260416666666667</v>
      </c>
      <c r="AA12" s="14"/>
      <c r="AB12" s="14"/>
      <c r="AC12" s="15" t="str">
        <f aca="false">IF(AA12="","",AB12-AA12)</f>
        <v/>
      </c>
      <c r="AD12" s="14"/>
      <c r="AE12" s="14"/>
      <c r="AF12" s="15" t="str">
        <f aca="false">IF(AD12="","",AE12-AD12)</f>
        <v/>
      </c>
      <c r="AG12" s="16" t="str">
        <f aca="false">IF(AF12="",IF(AC12="","",IF(AC12&lt;$C$2,"# Matin 1",IF(AC12&gt;$D$2,"# Matin 2",AC12))
),IF(AC12="",IF(AF12&lt;$C$2,"# AprèsMidi 1",IF(AF12&gt;$D$2,"# AprèsMidi 2",AF12)
),IF(AF12&gt;$D$2,"# AprèsMidi 2",IF(AC12&gt;$D$2,"# Matin 2",IF((AD12-AB12)&gt;$B$2,"# Repas 1", IF((AD12-AB12)&lt;$A$2,"# Repas 2",IF((AC12+AF12)&lt;$E$2,"# Jour 1",IF((AC12+AF12)&gt;$F$2,"# Jour 2",AC12+AF12))))))))</f>
        <v/>
      </c>
    </row>
    <row r="13" customFormat="false" ht="15" hidden="false" customHeight="false" outlineLevel="0" collapsed="false">
      <c r="A13" s="12" t="s">
        <v>16</v>
      </c>
      <c r="B13" s="13"/>
      <c r="C13" s="14"/>
      <c r="D13" s="14"/>
      <c r="E13" s="15" t="str">
        <f aca="false">IF(C13="","",D13-C13)</f>
        <v/>
      </c>
      <c r="F13" s="14"/>
      <c r="G13" s="14"/>
      <c r="H13" s="15" t="str">
        <f aca="false">IF(F13="","",G13-F13)</f>
        <v/>
      </c>
      <c r="I13" s="16" t="str">
        <f aca="false">IF(H13="",IF(E13="","",IF(E13&lt;$C$2,"# Matin 1",IF(E13&gt;$D$2,"# Matin 2",E13))
),IF(E13="",IF(H13&lt;$C$2,"# AprèsMidi 1",IF(H13&gt;$D$2,"# AprèsMidi 2",H13)
),IF(H13&gt;$D$2,"# AprèsMidi 2",IF(E13&gt;$D$2,"# Matin 2",IF((F13-D13)&gt;$B$2,"# Repas 1", IF((F13-D13)&lt;$A$2,"# Repas 2",IF((E13+H13)&lt;$E$2,"# Jour 1",IF((E13+H13)&gt;$F$2,"# Jour 2",E13+H13))))))))</f>
        <v/>
      </c>
      <c r="J13" s="3"/>
      <c r="K13" s="14" t="n">
        <v>0.409722222222222</v>
      </c>
      <c r="L13" s="14" t="n">
        <v>0.583333333333333</v>
      </c>
      <c r="M13" s="15" t="n">
        <f aca="false">IF(K13="","",L13-K13)</f>
        <v>0.173611111111111</v>
      </c>
      <c r="N13" s="14" t="n">
        <v>0.625</v>
      </c>
      <c r="O13" s="14" t="n">
        <v>0.743055555555556</v>
      </c>
      <c r="P13" s="15" t="n">
        <f aca="false">IF(N13="","",O13-N13)</f>
        <v>0.118055555555556</v>
      </c>
      <c r="Q13" s="16" t="n">
        <f aca="false">IF(P13="",IF(M13="","",IF(M13&lt;$C$2,"# Matin 1",IF(M13&gt;$D$2,"# Matin 2",M13))
),IF(M13="",IF(P13&lt;$C$2,"# AprèsMidi 1",IF(P13&gt;$D$2,"# AprèsMidi 2",P13)
),IF(P13&gt;$D$2,"# AprèsMidi 2",IF(M13&gt;$D$2,"# Matin 2",IF((N13-L13)&gt;$B$2,"# Repas 1", IF((N13-L13)&lt;$A$2,"# Repas 2",IF((M13+P13)&lt;$E$2,"# Jour 1",IF((M13+P13)&gt;$F$2,"# Jour 2",M13+P13))))))))</f>
        <v>0.291666666666667</v>
      </c>
      <c r="S13" s="14" t="n">
        <v>0.517361111111111</v>
      </c>
      <c r="T13" s="14" t="n">
        <v>0.625</v>
      </c>
      <c r="U13" s="15" t="n">
        <f aca="false">IF(S13="","",T13-S13)</f>
        <v>0.107638888888889</v>
      </c>
      <c r="V13" s="14" t="n">
        <v>0.666666666666667</v>
      </c>
      <c r="W13" s="14" t="n">
        <v>0.819444444444444</v>
      </c>
      <c r="X13" s="15" t="n">
        <f aca="false">IF(V13="","",W13-V13)</f>
        <v>0.152777777777778</v>
      </c>
      <c r="Y13" s="16" t="n">
        <f aca="false">IF(X13="",IF(U13="","",IF(U13&lt;$C$2,"# Matin 1",IF(U13&gt;$D$2,"# Matin 2",U13))
),IF(U13="",IF(X13&lt;$C$2,"# AprèsMidi 1",IF(X13&gt;$D$2,"# AprèsMidi 2",X13)
),IF(X13&gt;$D$2,"# AprèsMidi 2",IF(U13&gt;$D$2,"# Matin 2",IF((V13-T13)&gt;$B$2,"# Repas 1", IF((V13-T13)&lt;$A$2,"# Repas 2",IF((U13+X13)&lt;$E$2,"# Jour 1",IF((U13+X13)&gt;$F$2,"# Jour 2",U13+X13))))))))</f>
        <v>0.260416666666667</v>
      </c>
      <c r="AA13" s="14"/>
      <c r="AB13" s="14"/>
      <c r="AC13" s="15" t="str">
        <f aca="false">IF(AA13="","",AB13-AA13)</f>
        <v/>
      </c>
      <c r="AD13" s="14"/>
      <c r="AE13" s="14"/>
      <c r="AF13" s="15" t="str">
        <f aca="false">IF(AD13="","",AE13-AD13)</f>
        <v/>
      </c>
      <c r="AG13" s="16" t="str">
        <f aca="false">IF(AF13="",IF(AC13="","",IF(AC13&lt;$C$2,"# Matin 1",IF(AC13&gt;$D$2,"# Matin 2",AC13))
),IF(AC13="",IF(AF13&lt;$C$2,"# AprèsMidi 1",IF(AF13&gt;$D$2,"# AprèsMidi 2",AF13)
),IF(AF13&gt;$D$2,"# AprèsMidi 2",IF(AC13&gt;$D$2,"# Matin 2",IF((AD13-AB13)&gt;$B$2,"# Repas 1", IF((AD13-AB13)&lt;$A$2,"# Repas 2",IF((AC13+AF13)&lt;$E$2,"# Jour 1",IF((AC13+AF13)&gt;$F$2,"# Jour 2",AC13+AF13))))))))</f>
        <v/>
      </c>
    </row>
    <row r="14" customFormat="false" ht="15" hidden="false" customHeight="false" outlineLevel="0" collapsed="false">
      <c r="A14" s="12" t="s">
        <v>17</v>
      </c>
      <c r="B14" s="13"/>
      <c r="C14" s="14" t="n">
        <v>0.486111111111111</v>
      </c>
      <c r="D14" s="14" t="n">
        <v>0.625</v>
      </c>
      <c r="E14" s="15" t="n">
        <f aca="false">IF(C14="","",D14-C14)</f>
        <v>0.138888888888889</v>
      </c>
      <c r="F14" s="14" t="n">
        <v>0.666666666666667</v>
      </c>
      <c r="G14" s="14" t="n">
        <v>0.819444444444444</v>
      </c>
      <c r="H14" s="15" t="n">
        <f aca="false">IF(F14="","",G14-F14)</f>
        <v>0.152777777777778</v>
      </c>
      <c r="I14" s="16" t="n">
        <f aca="false">IF(H14="",IF(E14="","",IF(E14&lt;$C$2,"# Matin 1",IF(E14&gt;$D$2,"# Matin 2",E14))
),IF(E14="",IF(H14&lt;$C$2,"# AprèsMidi 1",IF(H14&gt;$D$2,"# AprèsMidi 2",H14)
),IF(H14&gt;$D$2,"# AprèsMidi 2",IF(E14&gt;$D$2,"# Matin 2",IF((F14-D14)&gt;$B$2,"# Repas 1", IF((F14-D14)&lt;$A$2,"# Repas 2",IF((E14+H14)&lt;$E$2,"# Jour 1",IF((E14+H14)&gt;$F$2,"# Jour 2",E14+H14))))))))</f>
        <v>0.291666666666667</v>
      </c>
      <c r="J14" s="3"/>
      <c r="K14" s="14"/>
      <c r="L14" s="14"/>
      <c r="M14" s="15" t="str">
        <f aca="false">IF(K14="","",L14-K14)</f>
        <v/>
      </c>
      <c r="N14" s="14"/>
      <c r="O14" s="14"/>
      <c r="P14" s="15" t="str">
        <f aca="false">IF(N14="","",O14-N14)</f>
        <v/>
      </c>
      <c r="Q14" s="16" t="str">
        <f aca="false">IF(P14="",IF(M14="","",IF(M14&lt;$C$2,"# Matin 1",IF(M14&gt;$D$2,"# Matin 2",M14))
),IF(M14="",IF(P14&lt;$C$2,"# AprèsMidi 1",IF(P14&gt;$D$2,"# AprèsMidi 2",P14)
),IF(P14&gt;$D$2,"# AprèsMidi 2",IF(M14&gt;$D$2,"# Matin 2",IF((N14-L14)&gt;$B$2,"# Repas 1", IF((N14-L14)&lt;$A$2,"# Repas 2",IF((M14+P14)&lt;$E$2,"# Jour 1",IF((M14+P14)&gt;$F$2,"# Jour 2",M14+P14))))))))</f>
        <v/>
      </c>
      <c r="S14" s="14"/>
      <c r="T14" s="14"/>
      <c r="U14" s="15" t="str">
        <f aca="false">IF(S14="","",T14-S14)</f>
        <v/>
      </c>
      <c r="V14" s="14"/>
      <c r="W14" s="14"/>
      <c r="X14" s="15" t="str">
        <f aca="false">IF(V14="","",W14-V14)</f>
        <v/>
      </c>
      <c r="Y14" s="16" t="str">
        <f aca="false">IF(X14="",IF(U14="","",IF(U14&lt;$C$2,"# Matin 1",IF(U14&gt;$D$2,"# Matin 2",U14))
),IF(U14="",IF(X14&lt;$C$2,"# AprèsMidi 1",IF(X14&gt;$D$2,"# AprèsMidi 2",X14)
),IF(X14&gt;$D$2,"# AprèsMidi 2",IF(U14&gt;$D$2,"# Matin 2",IF((V14-T14)&gt;$B$2,"# Repas 1", IF((V14-T14)&lt;$A$2,"# Repas 2",IF((U14+X14)&lt;$E$2,"# Jour 1",IF((U14+X14)&gt;$F$2,"# Jour 2",U14+X14))))))))</f>
        <v/>
      </c>
      <c r="AA14" s="14" t="n">
        <v>0.409722222222222</v>
      </c>
      <c r="AB14" s="14" t="n">
        <v>0.583333333333333</v>
      </c>
      <c r="AC14" s="15" t="n">
        <f aca="false">IF(AA14="","",AB14-AA14)</f>
        <v>0.173611111111111</v>
      </c>
      <c r="AD14" s="14" t="n">
        <v>0.625</v>
      </c>
      <c r="AE14" s="14" t="n">
        <v>0.770833333333333</v>
      </c>
      <c r="AF14" s="15" t="n">
        <f aca="false">IF(AD14="","",AE14-AD14)</f>
        <v>0.145833333333333</v>
      </c>
      <c r="AG14" s="16" t="n">
        <f aca="false">IF(AF14="",IF(AC14="","",IF(AC14&lt;$C$2,"# Matin 1",IF(AC14&gt;$D$2,"# Matin 2",AC14))
),IF(AC14="",IF(AF14&lt;$C$2,"# AprèsMidi 1",IF(AF14&gt;$D$2,"# AprèsMidi 2",AF14)
),IF(AF14&gt;$D$2,"# AprèsMidi 2",IF(AC14&gt;$D$2,"# Matin 2",IF((AD14-AB14)&gt;$B$2,"# Repas 1", IF((AD14-AB14)&lt;$A$2,"# Repas 2",IF((AC14+AF14)&lt;$E$2,"# Jour 1",IF((AC14+AF14)&gt;$F$2,"# Jour 2",AC14+AF14))))))))</f>
        <v>0.319444444444444</v>
      </c>
    </row>
    <row r="15" customFormat="false" ht="15.75" hidden="false" customHeight="true" outlineLevel="0" collapsed="false">
      <c r="A15" s="12" t="s">
        <v>18</v>
      </c>
      <c r="B15" s="13"/>
      <c r="C15" s="14"/>
      <c r="D15" s="14"/>
      <c r="E15" s="15" t="str">
        <f aca="false">IF(C15="","",D15-C15)</f>
        <v/>
      </c>
      <c r="F15" s="14"/>
      <c r="G15" s="14"/>
      <c r="H15" s="15" t="str">
        <f aca="false">IF(F15="","",G15-F15)</f>
        <v/>
      </c>
      <c r="I15" s="16" t="str">
        <f aca="false">IF(H15="",IF(E15="","",IF(E15&lt;$C$2,"# Matin 1",IF(E15&gt;$D$2,"# Matin 2",E15))
),IF(E15="",IF(H15&lt;$C$2,"# AprèsMidi 1",IF(H15&gt;$D$2,"# AprèsMidi 2",H15)
),IF(H15&gt;$D$2,"# AprèsMidi 2",IF(E15&gt;$D$2,"# Matin 2",IF((F15-D15)&gt;$B$2,"# Repas 1", IF((F15-D15)&lt;$A$2,"# Repas 2",IF((E15+H15)&lt;$E$2,"# Jour 1",IF((E15+H15)&gt;$F$2,"# Jour 2",E15+H15))))))))</f>
        <v/>
      </c>
      <c r="J15" s="3"/>
      <c r="K15" s="14"/>
      <c r="L15" s="14"/>
      <c r="M15" s="15" t="str">
        <f aca="false">IF(K15="","",L15-K15)</f>
        <v/>
      </c>
      <c r="N15" s="14"/>
      <c r="O15" s="14"/>
      <c r="P15" s="15" t="str">
        <f aca="false">IF(N15="","",O15-N15)</f>
        <v/>
      </c>
      <c r="Q15" s="16" t="str">
        <f aca="false">IF(P15="",IF(M15="","",IF(M15&lt;$C$2,"# Matin 1",IF(M15&gt;$D$2,"# Matin 2",M15))
),IF(M15="",IF(P15&lt;$C$2,"# AprèsMidi 1",IF(P15&gt;$D$2,"# AprèsMidi 2",P15)
),IF(P15&gt;$D$2,"# AprèsMidi 2",IF(M15&gt;$D$2,"# Matin 2",IF((N15-L15)&gt;$B$2,"# Repas 1", IF((N15-L15)&lt;$A$2,"# Repas 2",IF((M15+P15)&lt;$E$2,"# Jour 1",IF((M15+P15)&gt;$F$2,"# Jour 2",M15+P15))))))))</f>
        <v/>
      </c>
      <c r="S15" s="14" t="n">
        <v>0.496527777777778</v>
      </c>
      <c r="T15" s="14" t="n">
        <v>0.625</v>
      </c>
      <c r="U15" s="15" t="n">
        <f aca="false">IF(S15="","",T15-S15)</f>
        <v>0.128472222222222</v>
      </c>
      <c r="V15" s="14" t="n">
        <v>0.666666666666667</v>
      </c>
      <c r="W15" s="14" t="n">
        <v>0.798611111111111</v>
      </c>
      <c r="X15" s="15" t="n">
        <f aca="false">IF(V15="","",W15-V15)</f>
        <v>0.131944444444444</v>
      </c>
      <c r="Y15" s="16" t="n">
        <f aca="false">IF(X15="",IF(U15="","",IF(U15&lt;$C$2,"# Matin 1",IF(U15&gt;$D$2,"# Matin 2",U15))
),IF(U15="",IF(X15&lt;$C$2,"# AprèsMidi 1",IF(X15&gt;$D$2,"# AprèsMidi 2",X15)
),IF(X15&gt;$D$2,"# AprèsMidi 2",IF(U15&gt;$D$2,"# Matin 2",IF((V15-T15)&gt;$B$2,"# Repas 1", IF((V15-T15)&lt;$A$2,"# Repas 2",IF((U15+X15)&lt;$E$2,"# Jour 1",IF((U15+X15)&gt;$F$2,"# Jour 2",U15+X15))))))))</f>
        <v>0.260416666666667</v>
      </c>
      <c r="AA15" s="14" t="n">
        <v>0.451388888888889</v>
      </c>
      <c r="AB15" s="14" t="n">
        <v>0.583333333333333</v>
      </c>
      <c r="AC15" s="15" t="n">
        <f aca="false">IF(AA15="","",AB15-AA15)</f>
        <v>0.131944444444444</v>
      </c>
      <c r="AD15" s="14" t="n">
        <v>0.625</v>
      </c>
      <c r="AE15" s="14" t="n">
        <v>0.798611111111111</v>
      </c>
      <c r="AF15" s="15" t="n">
        <f aca="false">IF(AD15="","",AE15-AD15)</f>
        <v>0.173611111111111</v>
      </c>
      <c r="AG15" s="16" t="n">
        <f aca="false">IF(AF15="",IF(AC15="","",IF(AC15&lt;$C$2,"# Matin 1",IF(AC15&gt;$D$2,"# Matin 2",AC15))
),IF(AC15="",IF(AF15&lt;$C$2,"# AprèsMidi 1",IF(AF15&gt;$D$2,"# AprèsMidi 2",AF15)
),IF(AF15&gt;$D$2,"# AprèsMidi 2",IF(AC15&gt;$D$2,"# Matin 2",IF((AD15-AB15)&gt;$B$2,"# Repas 1", IF((AD15-AB15)&lt;$A$2,"# Repas 2",IF((AC15+AF15)&lt;$E$2,"# Jour 1",IF((AC15+AF15)&gt;$F$2,"# Jour 2",AC15+AF15))))))))</f>
        <v>0.305555555555556</v>
      </c>
    </row>
    <row r="16" customFormat="false" ht="17.25" hidden="false" customHeight="true" outlineLevel="0" collapsed="false">
      <c r="A16" s="3"/>
      <c r="B16" s="3"/>
      <c r="C16" s="3"/>
      <c r="D16" s="3"/>
      <c r="E16" s="17" t="s">
        <v>19</v>
      </c>
      <c r="F16" s="18"/>
      <c r="G16" s="19"/>
      <c r="H16" s="19"/>
      <c r="I16" s="20" t="n">
        <f aca="false">SUM(I9:I15)</f>
        <v>1.45833333333333</v>
      </c>
      <c r="J16" s="3"/>
      <c r="K16" s="3"/>
      <c r="L16" s="3"/>
      <c r="M16" s="17" t="s">
        <v>19</v>
      </c>
      <c r="N16" s="18"/>
      <c r="O16" s="19"/>
      <c r="P16" s="19"/>
      <c r="Q16" s="20" t="n">
        <f aca="false">SUM(Q9:Q15)</f>
        <v>1.45833333333333</v>
      </c>
      <c r="S16" s="3"/>
      <c r="T16" s="3"/>
      <c r="U16" s="17" t="s">
        <v>19</v>
      </c>
      <c r="V16" s="18"/>
      <c r="W16" s="19"/>
      <c r="X16" s="21"/>
      <c r="Y16" s="20" t="n">
        <f aca="false">SUM(Y9:Y15)</f>
        <v>1.04166666666667</v>
      </c>
      <c r="AA16" s="3"/>
      <c r="AB16" s="3"/>
      <c r="AC16" s="17" t="s">
        <v>19</v>
      </c>
      <c r="AD16" s="18"/>
      <c r="AE16" s="19"/>
      <c r="AF16" s="21"/>
      <c r="AG16" s="20" t="n">
        <f aca="false">SUM(AG9:AG15)</f>
        <v>0.625</v>
      </c>
    </row>
    <row r="17" customFormat="false" ht="16.5" hidden="false" customHeight="true" outlineLevel="0" collapsed="false">
      <c r="A17" s="3"/>
      <c r="B17" s="3"/>
      <c r="C17" s="3"/>
      <c r="D17" s="3"/>
      <c r="E17" s="3"/>
      <c r="F17" s="3"/>
      <c r="G17" s="3"/>
      <c r="H17" s="3"/>
      <c r="I17" s="22" t="str">
        <f aca="false">IF(I16&lt;&gt;$I$2,"# Semaine 2","Ok Tps plein")</f>
        <v>Ok Tps plein</v>
      </c>
      <c r="J17" s="3"/>
      <c r="K17" s="3"/>
      <c r="L17" s="3"/>
      <c r="M17" s="3"/>
      <c r="N17" s="3"/>
      <c r="O17" s="3"/>
      <c r="P17" s="3"/>
      <c r="Q17" s="22" t="str">
        <f aca="false">IF(Q16&lt;&gt;$I$2,"# Semaine 2","Ok Tps plein")</f>
        <v>Ok Tps plein</v>
      </c>
      <c r="S17" s="3"/>
      <c r="T17" s="3"/>
      <c r="U17" s="3"/>
      <c r="V17" s="3"/>
      <c r="W17" s="3"/>
      <c r="X17" s="3"/>
      <c r="Y17" s="22" t="str">
        <f aca="false">+IF(OR((Y16&gt;$H$2),(Y16&lt;$G$2)),"# Semaine 1","Ok")</f>
        <v>Ok</v>
      </c>
      <c r="AA17" s="3"/>
      <c r="AB17" s="3"/>
      <c r="AC17" s="3"/>
      <c r="AD17" s="3"/>
      <c r="AE17" s="3"/>
      <c r="AF17" s="3"/>
      <c r="AG17" s="22" t="str">
        <f aca="false">+IF(OR((AG16&gt;$H$2),(AG16&lt;$G$2)),"# Semaine 1","Ok")</f>
        <v># Semaine 1</v>
      </c>
    </row>
    <row r="18" customFormat="false" ht="15.75" hidden="false" customHeight="true" outlineLevel="0" collapsed="false">
      <c r="A18" s="1"/>
      <c r="B18" s="3"/>
      <c r="C18" s="3"/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S18" s="3"/>
      <c r="T18" s="3"/>
      <c r="U18" s="3"/>
      <c r="V18" s="3"/>
      <c r="W18" s="3"/>
      <c r="X18" s="3"/>
      <c r="Y18" s="3"/>
      <c r="AA18" s="3"/>
      <c r="AB18" s="3"/>
      <c r="AC18" s="3"/>
      <c r="AD18" s="3"/>
      <c r="AE18" s="3"/>
      <c r="AF18" s="3"/>
      <c r="AG18" s="3"/>
    </row>
    <row r="19" customFormat="false" ht="17.25" hidden="false" customHeight="true" outlineLevel="0" collapsed="false">
      <c r="A19" s="3"/>
      <c r="B19" s="3"/>
      <c r="C19" s="8" t="s">
        <v>20</v>
      </c>
      <c r="D19" s="8"/>
      <c r="E19" s="8"/>
      <c r="F19" s="8"/>
      <c r="G19" s="8"/>
      <c r="H19" s="8"/>
      <c r="I19" s="8"/>
      <c r="J19" s="3"/>
      <c r="K19" s="8" t="s">
        <v>21</v>
      </c>
      <c r="L19" s="8"/>
      <c r="M19" s="8"/>
      <c r="N19" s="8"/>
      <c r="O19" s="8"/>
      <c r="P19" s="8"/>
      <c r="Q19" s="8"/>
      <c r="S19" s="8" t="s">
        <v>22</v>
      </c>
      <c r="T19" s="8"/>
      <c r="U19" s="8"/>
      <c r="V19" s="8"/>
      <c r="W19" s="8"/>
      <c r="X19" s="8"/>
      <c r="Y19" s="8"/>
      <c r="AA19" s="8" t="s">
        <v>23</v>
      </c>
      <c r="AB19" s="8"/>
      <c r="AC19" s="8"/>
      <c r="AD19" s="8"/>
      <c r="AE19" s="8"/>
      <c r="AF19" s="8"/>
      <c r="AG19" s="8"/>
    </row>
    <row r="20" customFormat="false" ht="15.75" hidden="false" customHeight="true" outlineLevel="0" collapsed="false">
      <c r="A20" s="3"/>
      <c r="B20" s="3"/>
      <c r="C20" s="3"/>
      <c r="D20" s="3"/>
      <c r="E20" s="3"/>
      <c r="F20" s="3"/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S20" s="3"/>
      <c r="T20" s="3"/>
      <c r="U20" s="3"/>
      <c r="V20" s="3"/>
      <c r="W20" s="3"/>
      <c r="X20" s="3"/>
      <c r="Y20" s="3"/>
      <c r="AA20" s="3"/>
      <c r="AB20" s="3"/>
      <c r="AC20" s="3"/>
      <c r="AD20" s="3"/>
      <c r="AE20" s="3"/>
      <c r="AF20" s="3"/>
      <c r="AG20" s="3"/>
    </row>
    <row r="21" customFormat="false" ht="15.75" hidden="false" customHeight="true" outlineLevel="0" collapsed="false">
      <c r="A21" s="3"/>
      <c r="B21" s="3" t="s">
        <v>8</v>
      </c>
      <c r="C21" s="9" t="s">
        <v>9</v>
      </c>
      <c r="D21" s="9"/>
      <c r="E21" s="10"/>
      <c r="F21" s="9" t="s">
        <v>10</v>
      </c>
      <c r="G21" s="9"/>
      <c r="H21" s="10"/>
      <c r="I21" s="9" t="s">
        <v>11</v>
      </c>
      <c r="J21" s="3"/>
      <c r="K21" s="9" t="s">
        <v>9</v>
      </c>
      <c r="L21" s="9"/>
      <c r="M21" s="10"/>
      <c r="N21" s="9" t="s">
        <v>10</v>
      </c>
      <c r="O21" s="9"/>
      <c r="P21" s="10"/>
      <c r="Q21" s="9" t="s">
        <v>11</v>
      </c>
      <c r="S21" s="9" t="s">
        <v>9</v>
      </c>
      <c r="T21" s="9"/>
      <c r="U21" s="10"/>
      <c r="V21" s="9" t="s">
        <v>10</v>
      </c>
      <c r="W21" s="9"/>
      <c r="X21" s="10"/>
      <c r="Y21" s="11" t="s">
        <v>11</v>
      </c>
      <c r="AA21" s="9" t="s">
        <v>9</v>
      </c>
      <c r="AB21" s="9"/>
      <c r="AC21" s="10"/>
      <c r="AD21" s="9" t="s">
        <v>10</v>
      </c>
      <c r="AE21" s="9"/>
      <c r="AF21" s="10"/>
      <c r="AG21" s="11" t="s">
        <v>11</v>
      </c>
    </row>
    <row r="22" customFormat="false" ht="15" hidden="false" customHeight="false" outlineLevel="0" collapsed="false">
      <c r="A22" s="12" t="s">
        <v>12</v>
      </c>
      <c r="B22" s="13"/>
      <c r="C22" s="14" t="n">
        <v>0.486111111111111</v>
      </c>
      <c r="D22" s="14" t="n">
        <v>0.625</v>
      </c>
      <c r="E22" s="15" t="n">
        <f aca="false">IF(C22="","",D22-C22)</f>
        <v>0.138888888888889</v>
      </c>
      <c r="F22" s="14" t="n">
        <v>0.666666666666667</v>
      </c>
      <c r="G22" s="14" t="n">
        <v>0.819444444444444</v>
      </c>
      <c r="H22" s="15" t="n">
        <f aca="false">IF(F22="","",G22-F22)</f>
        <v>0.152777777777778</v>
      </c>
      <c r="I22" s="16" t="n">
        <f aca="false">IF(H22="",IF(E22="","",IF(E22&lt;$C$2,"# Matin 1",IF(E22&gt;$D$2,"# Matin 2",E22))
),IF(E22="",IF(H22&lt;$C$2,"# AprèsMidi 1",IF(H22&gt;$D$2,"# AprèsMidi 2",H22)
),IF(H22&gt;$D$2,"# AprèsMidi 2",IF(E22&gt;$D$2,"# Matin 2",IF((F22-D22)&gt;$B$2,"# Repas 1", IF((F22-D22)&lt;$A$2,"# Repas 2",IF((E22+H22)&lt;$E$2,"# Jour 1",IF((E22+H22)&gt;$F$2,"# Jour 2",E22+H22))))))))</f>
        <v>0.291666666666667</v>
      </c>
      <c r="J22" s="3"/>
      <c r="K22" s="14" t="n">
        <v>0.409722222222222</v>
      </c>
      <c r="L22" s="14" t="n">
        <v>0.583333333333333</v>
      </c>
      <c r="M22" s="15" t="n">
        <f aca="false">IF(K22="","",L22-K22)</f>
        <v>0.173611111111111</v>
      </c>
      <c r="N22" s="14" t="n">
        <v>0.625</v>
      </c>
      <c r="O22" s="14" t="n">
        <v>0.743055555555556</v>
      </c>
      <c r="P22" s="15" t="n">
        <f aca="false">IF(N22="","",O22-N22)</f>
        <v>0.118055555555556</v>
      </c>
      <c r="Q22" s="16" t="n">
        <f aca="false">IF(P22="",IF(M22="","",IF(M22&lt;$C$2,"# Matin 1",IF(M22&gt;$D$2,"# Matin 2",M22))
),IF(M22="",IF(P22&lt;$C$2,"# AprèsMidi 1",IF(P22&gt;$D$2,"# AprèsMidi 2",P22)
),IF(P22&gt;$D$2,"# AprèsMidi 2",IF(M22&gt;$D$2,"# Matin 2",IF((N22-L22)&gt;$B$2,"# Repas 1", IF((N22-L22)&lt;$A$2,"# Repas 2",IF((M22+P22)&lt;$E$2,"# Jour 1",IF((M22+P22)&gt;$F$2,"# Jour 2",M22+P22))))))))</f>
        <v>0.291666666666667</v>
      </c>
      <c r="S22" s="14"/>
      <c r="T22" s="14"/>
      <c r="U22" s="15" t="str">
        <f aca="false">IF(S22="","",T22-S22)</f>
        <v/>
      </c>
      <c r="V22" s="14"/>
      <c r="W22" s="14"/>
      <c r="X22" s="15" t="str">
        <f aca="false">IF(V22="","",W22-V22)</f>
        <v/>
      </c>
      <c r="Y22" s="16" t="str">
        <f aca="false">IF(X22="",IF(U22="","",IF(U22&lt;$C$2,"# Matin 1",IF(U22&gt;$D$2,"# Matin 2",U22))
),IF(U22="",IF(X22&lt;$C$2,"# AprèsMidi 1",IF(X22&gt;$D$2,"# AprèsMidi 2",X22)
),IF(X22&gt;$D$2,"# AprèsMidi 2",IF(U22&gt;$D$2,"# Matin 2",IF((V22-T22)&gt;$B$2,"# Repas 1", IF((V22-T22)&lt;$A$2,"# Repas 2",IF((U22+X22)&lt;$E$2,"# Jour 1",IF((U22+X22)&gt;$F$2,"# Jour 2",U22+X22))))))))</f>
        <v/>
      </c>
      <c r="AA22" s="14"/>
      <c r="AB22" s="14"/>
      <c r="AC22" s="15" t="str">
        <f aca="false">IF(AA22="","",AB22-AA22)</f>
        <v/>
      </c>
      <c r="AD22" s="14"/>
      <c r="AE22" s="14"/>
      <c r="AF22" s="15" t="str">
        <f aca="false">IF(AD22="","",AE22-AD22)</f>
        <v/>
      </c>
      <c r="AG22" s="16" t="str">
        <f aca="false">IF(AF22="",IF(AC22="","",IF(AC22&lt;$C$2,"# Matin 1",IF(AC22&gt;$D$2,"# Matin 2",AC22))
),IF(AC22="",IF(AF22&lt;$C$2,"# AprèsMidi 1",IF(AF22&gt;$D$2,"# AprèsMidi 2",AF22)
),IF(AF22&gt;$D$2,"# AprèsMidi 2",IF(AC22&gt;$D$2,"# Matin 2",IF((AD22-AB22)&gt;$B$2,"# Repas 1", IF((AD22-AB22)&lt;$A$2,"# Repas 2",IF((AC22+AF22)&lt;$E$2,"# Jour 1",IF((AC22+AF22)&gt;$F$2,"# Jour 2",AC22+AF22))))))))</f>
        <v/>
      </c>
    </row>
    <row r="23" customFormat="false" ht="15" hidden="false" customHeight="false" outlineLevel="0" collapsed="false">
      <c r="A23" s="12" t="s">
        <v>13</v>
      </c>
      <c r="B23" s="13"/>
      <c r="C23" s="14" t="n">
        <v>0.409722222222222</v>
      </c>
      <c r="D23" s="14" t="n">
        <v>0.583333333333333</v>
      </c>
      <c r="E23" s="15" t="n">
        <f aca="false">IF(C23="","",D23-C23)</f>
        <v>0.173611111111111</v>
      </c>
      <c r="F23" s="14" t="n">
        <v>0.625</v>
      </c>
      <c r="G23" s="14" t="n">
        <v>0.743055555555556</v>
      </c>
      <c r="H23" s="15" t="n">
        <f aca="false">IF(F23="","",G23-F23)</f>
        <v>0.118055555555556</v>
      </c>
      <c r="I23" s="16" t="n">
        <f aca="false">IF(H23="",IF(E23="","",IF(E23&lt;$C$2,"# Matin 1",IF(E23&gt;$D$2,"# Matin 2",E23))
),IF(E23="",IF(H23&lt;$C$2,"# AprèsMidi 1",IF(H23&gt;$D$2,"# AprèsMidi 2",H23)
),IF(H23&gt;$D$2,"# AprèsMidi 2",IF(E23&gt;$D$2,"# Matin 2",IF((F23-D23)&gt;$B$2,"# Repas 1", IF((F23-D23)&lt;$A$2,"# Repas 2",IF((E23+H23)&lt;$E$2,"# Jour 1",IF((E23+H23)&gt;$F$2,"# Jour 2",E23+H23))))))))</f>
        <v>0.291666666666667</v>
      </c>
      <c r="J23" s="3"/>
      <c r="K23" s="14" t="n">
        <v>0.409722222222222</v>
      </c>
      <c r="L23" s="14" t="n">
        <v>0.583333333333333</v>
      </c>
      <c r="M23" s="15" t="n">
        <f aca="false">IF(K23="","",L23-K23)</f>
        <v>0.173611111111111</v>
      </c>
      <c r="N23" s="14" t="n">
        <v>0.625</v>
      </c>
      <c r="O23" s="14" t="n">
        <v>0.743055555555556</v>
      </c>
      <c r="P23" s="15" t="n">
        <f aca="false">IF(N23="","",O23-N23)</f>
        <v>0.118055555555556</v>
      </c>
      <c r="Q23" s="16" t="n">
        <f aca="false">IF(P23="",IF(M23="","",IF(M23&lt;$C$2,"# Matin 1",IF(M23&gt;$D$2,"# Matin 2",M23))
),IF(M23="",IF(P23&lt;$C$2,"# AprèsMidi 1",IF(P23&gt;$D$2,"# AprèsMidi 2",P23)
),IF(P23&gt;$D$2,"# AprèsMidi 2",IF(M23&gt;$D$2,"# Matin 2",IF((N23-L23)&gt;$B$2,"# Repas 1", IF((N23-L23)&lt;$A$2,"# Repas 2",IF((M23+P23)&lt;$E$2,"# Jour 1",IF((M23+P23)&gt;$F$2,"# Jour 2",M23+P23))))))))</f>
        <v>0.291666666666667</v>
      </c>
      <c r="S23" s="14" t="n">
        <v>0.517361111111111</v>
      </c>
      <c r="T23" s="14" t="n">
        <v>0.625</v>
      </c>
      <c r="U23" s="15" t="n">
        <f aca="false">IF(S23="","",T23-S23)</f>
        <v>0.107638888888889</v>
      </c>
      <c r="V23" s="14" t="n">
        <v>0.666666666666667</v>
      </c>
      <c r="W23" s="14" t="n">
        <v>0.819444444444444</v>
      </c>
      <c r="X23" s="15" t="n">
        <f aca="false">IF(V23="","",W23-V23)</f>
        <v>0.152777777777778</v>
      </c>
      <c r="Y23" s="16" t="n">
        <f aca="false">IF(X23="",IF(U23="","",IF(U23&lt;$C$2,"# Matin 1",IF(U23&gt;$D$2,"# Matin 2",U23))
),IF(U23="",IF(X23&lt;$C$2,"# AprèsMidi 1",IF(X23&gt;$D$2,"# AprèsMidi 2",X23)
),IF(X23&gt;$D$2,"# AprèsMidi 2",IF(U23&gt;$D$2,"# Matin 2",IF((V23-T23)&gt;$B$2,"# Repas 1", IF((V23-T23)&lt;$A$2,"# Repas 2",IF((U23+X23)&lt;$E$2,"# Jour 1",IF((U23+X23)&gt;$F$2,"# Jour 2",U23+X23))))))))</f>
        <v>0.260416666666667</v>
      </c>
      <c r="AA23" s="14"/>
      <c r="AB23" s="14"/>
      <c r="AC23" s="15" t="str">
        <f aca="false">IF(AA23="","",AB23-AA23)</f>
        <v/>
      </c>
      <c r="AD23" s="14"/>
      <c r="AE23" s="14"/>
      <c r="AF23" s="15" t="str">
        <f aca="false">IF(AD23="","",AE23-AD23)</f>
        <v/>
      </c>
      <c r="AG23" s="16" t="str">
        <f aca="false">IF(AF23="",IF(AC23="","",IF(AC23&lt;$C$2,"# Matin 1",IF(AC23&gt;$D$2,"# Matin 2",AC23))
),IF(AC23="",IF(AF23&lt;$C$2,"# AprèsMidi 1",IF(AF23&gt;$D$2,"# AprèsMidi 2",AF23)
),IF(AF23&gt;$D$2,"# AprèsMidi 2",IF(AC23&gt;$D$2,"# Matin 2",IF((AD23-AB23)&gt;$B$2,"# Repas 1", IF((AD23-AB23)&lt;$A$2,"# Repas 2",IF((AC23+AF23)&lt;$E$2,"# Jour 1",IF((AC23+AF23)&gt;$F$2,"# Jour 2",AC23+AF23))))))))</f>
        <v/>
      </c>
    </row>
    <row r="24" customFormat="false" ht="15" hidden="false" customHeight="false" outlineLevel="0" collapsed="false">
      <c r="A24" s="12" t="s">
        <v>14</v>
      </c>
      <c r="B24" s="13"/>
      <c r="C24" s="14"/>
      <c r="D24" s="14"/>
      <c r="E24" s="15" t="str">
        <f aca="false">IF(C24="","",D24-C24)</f>
        <v/>
      </c>
      <c r="F24" s="14"/>
      <c r="G24" s="14"/>
      <c r="H24" s="15" t="str">
        <f aca="false">IF(F24="","",G24-F24)</f>
        <v/>
      </c>
      <c r="I24" s="16" t="str">
        <f aca="false">IF(H24="",IF(E24="","",IF(E24&lt;$C$2,"# Matin 1",IF(E24&gt;$D$2,"# Matin 2",E24))
),IF(E24="",IF(H24&lt;$C$2,"# AprèsMidi 1",IF(H24&gt;$D$2,"# AprèsMidi 2",H24)
),IF(H24&gt;$D$2,"# AprèsMidi 2",IF(E24&gt;$D$2,"# Matin 2",IF((F24-D24)&gt;$B$2,"# Repas 1", IF((F24-D24)&lt;$A$2,"# Repas 2",IF((E24+H24)&lt;$E$2,"# Jour 1",IF((E24+H24)&gt;$F$2,"# Jour 2",E24+H24))))))))</f>
        <v/>
      </c>
      <c r="J24" s="3"/>
      <c r="K24" s="14" t="n">
        <v>0.409722222222222</v>
      </c>
      <c r="L24" s="14" t="n">
        <v>0.583333333333333</v>
      </c>
      <c r="M24" s="15" t="n">
        <f aca="false">IF(K24="","",L24-K24)</f>
        <v>0.173611111111111</v>
      </c>
      <c r="N24" s="14" t="n">
        <v>0.625</v>
      </c>
      <c r="O24" s="14" t="n">
        <v>0.743055555555556</v>
      </c>
      <c r="P24" s="15" t="n">
        <f aca="false">IF(N24="","",O24-N24)</f>
        <v>0.118055555555556</v>
      </c>
      <c r="Q24" s="16" t="n">
        <f aca="false">IF(P24="",IF(M24="","",IF(M24&lt;$C$2,"# Matin 1",IF(M24&gt;$D$2,"# Matin 2",M24))
),IF(M24="",IF(P24&lt;$C$2,"# AprèsMidi 1",IF(P24&gt;$D$2,"# AprèsMidi 2",P24)
),IF(P24&gt;$D$2,"# AprèsMidi 2",IF(M24&gt;$D$2,"# Matin 2",IF((N24-L24)&gt;$B$2,"# Repas 1", IF((N24-L24)&lt;$A$2,"# Repas 2",IF((M24+P24)&lt;$E$2,"# Jour 1",IF((M24+P24)&gt;$F$2,"# Jour 2",M24+P24))))))))</f>
        <v>0.291666666666667</v>
      </c>
      <c r="S24" s="14" t="n">
        <v>0.517361111111111</v>
      </c>
      <c r="T24" s="14" t="n">
        <v>0.625</v>
      </c>
      <c r="U24" s="15" t="n">
        <f aca="false">IF(S24="","",T24-S24)</f>
        <v>0.107638888888889</v>
      </c>
      <c r="V24" s="14" t="n">
        <v>0.666666666666667</v>
      </c>
      <c r="W24" s="14" t="n">
        <v>0.819444444444444</v>
      </c>
      <c r="X24" s="15" t="n">
        <f aca="false">IF(V24="","",W24-V24)</f>
        <v>0.152777777777778</v>
      </c>
      <c r="Y24" s="16" t="n">
        <f aca="false">IF(X24="",IF(U24="","",IF(U24&lt;$C$2,"# Matin 1",IF(U24&gt;$D$2,"# Matin 2",U24))
),IF(U24="",IF(X24&lt;$C$2,"# AprèsMidi 1",IF(X24&gt;$D$2,"# AprèsMidi 2",X24)
),IF(X24&gt;$D$2,"# AprèsMidi 2",IF(U24&gt;$D$2,"# Matin 2",IF((V24-T24)&gt;$B$2,"# Repas 1", IF((V24-T24)&lt;$A$2,"# Repas 2",IF((U24+X24)&lt;$E$2,"# Jour 1",IF((U24+X24)&gt;$F$2,"# Jour 2",U24+X24))))))))</f>
        <v>0.260416666666667</v>
      </c>
      <c r="AA24" s="14"/>
      <c r="AB24" s="14"/>
      <c r="AC24" s="15" t="str">
        <f aca="false">IF(AA24="","",AB24-AA24)</f>
        <v/>
      </c>
      <c r="AD24" s="14"/>
      <c r="AE24" s="14"/>
      <c r="AF24" s="15" t="str">
        <f aca="false">IF(AD24="","",AE24-AD24)</f>
        <v/>
      </c>
      <c r="AG24" s="16" t="str">
        <f aca="false">IF(AF24="",IF(AC24="","",IF(AC24&lt;$C$2,"# Matin 1",IF(AC24&gt;$D$2,"# Matin 2",AC24))
),IF(AC24="",IF(AF24&lt;$C$2,"# AprèsMidi 1",IF(AF24&gt;$D$2,"# AprèsMidi 2",AF24)
),IF(AF24&gt;$D$2,"# AprèsMidi 2",IF(AC24&gt;$D$2,"# Matin 2",IF((AD24-AB24)&gt;$B$2,"# Repas 1", IF((AD24-AB24)&lt;$A$2,"# Repas 2",IF((AC24+AF24)&lt;$E$2,"# Jour 1",IF((AC24+AF24)&gt;$F$2,"# Jour 2",AC24+AF24))))))))</f>
        <v/>
      </c>
    </row>
    <row r="25" customFormat="false" ht="15" hidden="false" customHeight="false" outlineLevel="0" collapsed="false">
      <c r="A25" s="12" t="s">
        <v>15</v>
      </c>
      <c r="B25" s="13"/>
      <c r="C25" s="14"/>
      <c r="D25" s="14"/>
      <c r="E25" s="15" t="str">
        <f aca="false">IF(C25="","",D25-C25)</f>
        <v/>
      </c>
      <c r="F25" s="14"/>
      <c r="G25" s="14"/>
      <c r="H25" s="15" t="str">
        <f aca="false">IF(F25="","",G25-F25)</f>
        <v/>
      </c>
      <c r="I25" s="16" t="str">
        <f aca="false">IF(H25="",IF(E25="","",IF(E25&lt;$C$2,"# Matin 1",IF(E25&gt;$D$2,"# Matin 2",E25))
),IF(E25="",IF(H25&lt;$C$2,"# AprèsMidi 1",IF(H25&gt;$D$2,"# AprèsMidi 2",H25)
),IF(H25&gt;$D$2,"# AprèsMidi 2",IF(E25&gt;$D$2,"# Matin 2",IF((F25-D25)&gt;$B$2,"# Repas 1", IF((F25-D25)&lt;$A$2,"# Repas 2",IF((E25+H25)&lt;$E$2,"# Jour 1",IF((E25+H25)&gt;$F$2,"# Jour 2",E25+H25))))))))</f>
        <v/>
      </c>
      <c r="J25" s="3"/>
      <c r="K25" s="14" t="n">
        <v>0.409722222222222</v>
      </c>
      <c r="L25" s="14" t="n">
        <v>0.583333333333333</v>
      </c>
      <c r="M25" s="15" t="n">
        <f aca="false">IF(K25="","",L25-K25)</f>
        <v>0.173611111111111</v>
      </c>
      <c r="N25" s="14" t="n">
        <v>0.625</v>
      </c>
      <c r="O25" s="14" t="n">
        <v>0.743055555555556</v>
      </c>
      <c r="P25" s="15" t="n">
        <f aca="false">IF(N25="","",O25-N25)</f>
        <v>0.118055555555556</v>
      </c>
      <c r="Q25" s="16" t="n">
        <f aca="false">IF(P25="",IF(M25="","",IF(M25&lt;$C$2,"# Matin 1",IF(M25&gt;$D$2,"# Matin 2",M25))
),IF(M25="",IF(P25&lt;$C$2,"# AprèsMidi 1",IF(P25&gt;$D$2,"# AprèsMidi 2",P25)
),IF(P25&gt;$D$2,"# AprèsMidi 2",IF(M25&gt;$D$2,"# Matin 2",IF((N25-L25)&gt;$B$2,"# Repas 1", IF((N25-L25)&lt;$A$2,"# Repas 2",IF((M25+P25)&lt;$E$2,"# Jour 1",IF((M25+P25)&gt;$F$2,"# Jour 2",M25+P25))))))))</f>
        <v>0.291666666666667</v>
      </c>
      <c r="S25" s="14" t="n">
        <v>0.517361111111111</v>
      </c>
      <c r="T25" s="14" t="n">
        <v>0.625</v>
      </c>
      <c r="U25" s="15" t="n">
        <f aca="false">IF(S25="","",T25-S25)</f>
        <v>0.107638888888889</v>
      </c>
      <c r="V25" s="14" t="n">
        <v>0.666666666666667</v>
      </c>
      <c r="W25" s="14" t="n">
        <v>0.819444444444444</v>
      </c>
      <c r="X25" s="15" t="n">
        <f aca="false">IF(V25="","",W25-V25)</f>
        <v>0.152777777777778</v>
      </c>
      <c r="Y25" s="16" t="n">
        <f aca="false">IF(X25="",IF(U25="","",IF(U25&lt;$C$2,"# Matin 1",IF(U25&gt;$D$2,"# Matin 2",U25))
),IF(U25="",IF(X25&lt;$C$2,"# AprèsMidi 1",IF(X25&gt;$D$2,"# AprèsMidi 2",X25)
),IF(X25&gt;$D$2,"# AprèsMidi 2",IF(U25&gt;$D$2,"# Matin 2",IF((V25-T25)&gt;$B$2,"# Repas 1", IF((V25-T25)&lt;$A$2,"# Repas 2",IF((U25+X25)&lt;$E$2,"# Jour 1",IF((U25+X25)&gt;$F$2,"# Jour 2",U25+X25))))))))</f>
        <v>0.260416666666667</v>
      </c>
      <c r="AA25" s="14"/>
      <c r="AB25" s="14"/>
      <c r="AC25" s="15" t="str">
        <f aca="false">IF(AA25="","",AB25-AA25)</f>
        <v/>
      </c>
      <c r="AD25" s="14"/>
      <c r="AE25" s="14"/>
      <c r="AF25" s="15" t="str">
        <f aca="false">IF(AD25="","",AE25-AD25)</f>
        <v/>
      </c>
      <c r="AG25" s="16" t="str">
        <f aca="false">IF(AF25="",IF(AC25="","",IF(AC25&lt;$C$2,"# Matin 1",IF(AC25&gt;$D$2,"# Matin 2",AC25))
),IF(AC25="",IF(AF25&lt;$C$2,"# AprèsMidi 1",IF(AF25&gt;$D$2,"# AprèsMidi 2",AF25)
),IF(AF25&gt;$D$2,"# AprèsMidi 2",IF(AC25&gt;$D$2,"# Matin 2",IF((AD25-AB25)&gt;$B$2,"# Repas 1", IF((AD25-AB25)&lt;$A$2,"# Repas 2",IF((AC25+AF25)&lt;$E$2,"# Jour 1",IF((AC25+AF25)&gt;$F$2,"# Jour 2",AC25+AF25))))))))</f>
        <v/>
      </c>
    </row>
    <row r="26" customFormat="false" ht="15" hidden="false" customHeight="false" outlineLevel="0" collapsed="false">
      <c r="A26" s="12" t="s">
        <v>16</v>
      </c>
      <c r="B26" s="13"/>
      <c r="C26" s="14" t="n">
        <v>0.458333333333333</v>
      </c>
      <c r="D26" s="14" t="n">
        <v>0.583333333333333</v>
      </c>
      <c r="E26" s="15" t="n">
        <f aca="false">IF(C26="","",D26-C26)</f>
        <v>0.125</v>
      </c>
      <c r="F26" s="14" t="n">
        <v>0.625</v>
      </c>
      <c r="G26" s="14" t="n">
        <v>0.791666666666667</v>
      </c>
      <c r="H26" s="15" t="n">
        <f aca="false">IF(F26="","",G26-F26)</f>
        <v>0.166666666666667</v>
      </c>
      <c r="I26" s="16" t="n">
        <f aca="false">IF(H26="",IF(E26="","",IF(E26&lt;$C$2,"# Matin 1",IF(E26&gt;$D$2,"# Matin 2",E26))
),IF(E26="",IF(H26&lt;$C$2,"# AprèsMidi 1",IF(H26&gt;$D$2,"# AprèsMidi 2",H26)
),IF(H26&gt;$D$2,"# AprèsMidi 2",IF(E26&gt;$D$2,"# Matin 2",IF((F26-D26)&gt;$B$2,"# Repas 1", IF((F26-D26)&lt;$A$2,"# Repas 2",IF((E26+H26)&lt;$E$2,"# Jour 1",IF((E26+H26)&gt;$F$2,"# Jour 2",E26+H26))))))))</f>
        <v>0.291666666666667</v>
      </c>
      <c r="J26" s="3"/>
      <c r="K26" s="14" t="n">
        <v>0.409722222222222</v>
      </c>
      <c r="L26" s="14" t="n">
        <v>0.583333333333333</v>
      </c>
      <c r="M26" s="15" t="n">
        <f aca="false">IF(K26="","",L26-K26)</f>
        <v>0.173611111111111</v>
      </c>
      <c r="N26" s="14" t="n">
        <v>0.625</v>
      </c>
      <c r="O26" s="14" t="n">
        <v>0.743055555555556</v>
      </c>
      <c r="P26" s="15" t="n">
        <f aca="false">IF(N26="","",O26-N26)</f>
        <v>0.118055555555556</v>
      </c>
      <c r="Q26" s="16" t="n">
        <f aca="false">IF(P26="",IF(M26="","",IF(M26&lt;$C$2,"# Matin 1",IF(M26&gt;$D$2,"# Matin 2",M26))
),IF(M26="",IF(P26&lt;$C$2,"# AprèsMidi 1",IF(P26&gt;$D$2,"# AprèsMidi 2",P26)
),IF(P26&gt;$D$2,"# AprèsMidi 2",IF(M26&gt;$D$2,"# Matin 2",IF((N26-L26)&gt;$B$2,"# Repas 1", IF((N26-L26)&lt;$A$2,"# Repas 2",IF((M26+P26)&lt;$E$2,"# Jour 1",IF((M26+P26)&gt;$F$2,"# Jour 2",M26+P26))))))))</f>
        <v>0.291666666666667</v>
      </c>
      <c r="S26" s="14" t="n">
        <v>0.517361111111111</v>
      </c>
      <c r="T26" s="14" t="n">
        <v>0.625</v>
      </c>
      <c r="U26" s="15" t="n">
        <f aca="false">IF(S26="","",T26-S26)</f>
        <v>0.107638888888889</v>
      </c>
      <c r="V26" s="14" t="n">
        <v>0.666666666666667</v>
      </c>
      <c r="W26" s="14" t="n">
        <v>0.819444444444444</v>
      </c>
      <c r="X26" s="15" t="n">
        <f aca="false">IF(V26="","",W26-V26)</f>
        <v>0.152777777777778</v>
      </c>
      <c r="Y26" s="16" t="n">
        <f aca="false">IF(X26="",IF(U26="","",IF(U26&lt;$C$2,"# Matin 1",IF(U26&gt;$D$2,"# Matin 2",U26))
),IF(U26="",IF(X26&lt;$C$2,"# AprèsMidi 1",IF(X26&gt;$D$2,"# AprèsMidi 2",X26)
),IF(X26&gt;$D$2,"# AprèsMidi 2",IF(U26&gt;$D$2,"# Matin 2",IF((V26-T26)&gt;$B$2,"# Repas 1", IF((V26-T26)&lt;$A$2,"# Repas 2",IF((U26+X26)&lt;$E$2,"# Jour 1",IF((U26+X26)&gt;$F$2,"# Jour 2",U26+X26))))))))</f>
        <v>0.260416666666667</v>
      </c>
      <c r="AA26" s="14"/>
      <c r="AB26" s="14"/>
      <c r="AC26" s="15" t="str">
        <f aca="false">IF(AA26="","",AB26-AA26)</f>
        <v/>
      </c>
      <c r="AD26" s="14"/>
      <c r="AE26" s="14"/>
      <c r="AF26" s="15" t="str">
        <f aca="false">IF(AD26="","",AE26-AD26)</f>
        <v/>
      </c>
      <c r="AG26" s="16" t="str">
        <f aca="false">IF(AF26="",IF(AC26="","",IF(AC26&lt;$C$2,"# Matin 1",IF(AC26&gt;$D$2,"# Matin 2",AC26))
),IF(AC26="",IF(AF26&lt;$C$2,"# AprèsMidi 1",IF(AF26&gt;$D$2,"# AprèsMidi 2",AF26)
),IF(AF26&gt;$D$2,"# AprèsMidi 2",IF(AC26&gt;$D$2,"# Matin 2",IF((AD26-AB26)&gt;$B$2,"# Repas 1", IF((AD26-AB26)&lt;$A$2,"# Repas 2",IF((AC26+AF26)&lt;$E$2,"# Jour 1",IF((AC26+AF26)&gt;$F$2,"# Jour 2",AC26+AF26))))))))</f>
        <v/>
      </c>
    </row>
    <row r="27" customFormat="false" ht="15" hidden="false" customHeight="false" outlineLevel="0" collapsed="false">
      <c r="A27" s="12" t="s">
        <v>17</v>
      </c>
      <c r="B27" s="13"/>
      <c r="C27" s="14" t="n">
        <v>0.486111111111111</v>
      </c>
      <c r="D27" s="14" t="n">
        <v>0.625</v>
      </c>
      <c r="E27" s="15" t="n">
        <f aca="false">IF(C27="","",D27-C27)</f>
        <v>0.138888888888889</v>
      </c>
      <c r="F27" s="14" t="n">
        <v>0.666666666666667</v>
      </c>
      <c r="G27" s="14" t="n">
        <v>0.819444444444444</v>
      </c>
      <c r="H27" s="15" t="n">
        <f aca="false">IF(F27="","",G27-F27)</f>
        <v>0.152777777777778</v>
      </c>
      <c r="I27" s="16" t="n">
        <f aca="false">IF(H27="",IF(E27="","",IF(E27&lt;$C$2,"# Matin 1",IF(E27&gt;$D$2,"# Matin 2",E27))
),IF(E27="",IF(H27&lt;$C$2,"# AprèsMidi 1",IF(H27&gt;$D$2,"# AprèsMidi 2",H27)
),IF(H27&gt;$D$2,"# AprèsMidi 2",IF(E27&gt;$D$2,"# Matin 2",IF((F27-D27)&gt;$B$2,"# Repas 1", IF((F27-D27)&lt;$A$2,"# Repas 2",IF((E27+H27)&lt;$E$2,"# Jour 1",IF((E27+H27)&gt;$F$2,"# Jour 2",E27+H27))))))))</f>
        <v>0.291666666666667</v>
      </c>
      <c r="J27" s="3"/>
      <c r="K27" s="14"/>
      <c r="L27" s="14"/>
      <c r="M27" s="15" t="str">
        <f aca="false">IF(K27="","",L27-K27)</f>
        <v/>
      </c>
      <c r="N27" s="14"/>
      <c r="O27" s="14"/>
      <c r="P27" s="15" t="str">
        <f aca="false">IF(N27="","",O27-N27)</f>
        <v/>
      </c>
      <c r="Q27" s="16" t="str">
        <f aca="false">IF(P27="",IF(M27="","",IF(M27&lt;$C$2,"# Matin 1",IF(M27&gt;$D$2,"# Matin 2",M27))
),IF(M27="",IF(P27&lt;$C$2,"# AprèsMidi 1",IF(P27&gt;$D$2,"# AprèsMidi 2",P27)
),IF(P27&gt;$D$2,"# AprèsMidi 2",IF(M27&gt;$D$2,"# Matin 2",IF((N27-L27)&gt;$B$2,"# Repas 1", IF((N27-L27)&lt;$A$2,"# Repas 2",IF((M27+P27)&lt;$E$2,"# Jour 1",IF((M27+P27)&gt;$F$2,"# Jour 2",M27+P27))))))))</f>
        <v/>
      </c>
      <c r="S27" s="14"/>
      <c r="T27" s="14"/>
      <c r="U27" s="15" t="str">
        <f aca="false">IF(S27="","",T27-S27)</f>
        <v/>
      </c>
      <c r="V27" s="14"/>
      <c r="W27" s="14"/>
      <c r="X27" s="15" t="str">
        <f aca="false">IF(V27="","",W27-V27)</f>
        <v/>
      </c>
      <c r="Y27" s="16" t="str">
        <f aca="false">IF(X27="",IF(U27="","",IF(U27&lt;$C$2,"# Matin 1",IF(U27&gt;$D$2,"# Matin 2",U27))
),IF(U27="",IF(X27&lt;$C$2,"# AprèsMidi 1",IF(X27&gt;$D$2,"# AprèsMidi 2",X27)
),IF(X27&gt;$D$2,"# AprèsMidi 2",IF(U27&gt;$D$2,"# Matin 2",IF((V27-T27)&gt;$B$2,"# Repas 1", IF((V27-T27)&lt;$A$2,"# Repas 2",IF((U27+X27)&lt;$E$2,"# Jour 1",IF((U27+X27)&gt;$F$2,"# Jour 2",U27+X27))))))))</f>
        <v/>
      </c>
      <c r="AA27" s="14" t="n">
        <v>0.409722222222222</v>
      </c>
      <c r="AB27" s="14" t="n">
        <v>0.583333333333333</v>
      </c>
      <c r="AC27" s="15" t="n">
        <f aca="false">IF(AA27="","",AB27-AA27)</f>
        <v>0.173611111111111</v>
      </c>
      <c r="AD27" s="14" t="n">
        <v>0.625</v>
      </c>
      <c r="AE27" s="14" t="n">
        <v>0.770833333333333</v>
      </c>
      <c r="AF27" s="15" t="n">
        <f aca="false">IF(AD27="","",AE27-AD27)</f>
        <v>0.145833333333333</v>
      </c>
      <c r="AG27" s="16" t="n">
        <f aca="false">IF(AF27="",IF(AC27="","",IF(AC27&lt;$C$2,"# Matin 1",IF(AC27&gt;$D$2,"# Matin 2",AC27))
),IF(AC27="",IF(AF27&lt;$C$2,"# AprèsMidi 1",IF(AF27&gt;$D$2,"# AprèsMidi 2",AF27)
),IF(AF27&gt;$D$2,"# AprèsMidi 2",IF(AC27&gt;$D$2,"# Matin 2",IF((AD27-AB27)&gt;$B$2,"# Repas 1", IF((AD27-AB27)&lt;$A$2,"# Repas 2",IF((AC27+AF27)&lt;$E$2,"# Jour 1",IF((AC27+AF27)&gt;$F$2,"# Jour 2",AC27+AF27))))))))</f>
        <v>0.319444444444444</v>
      </c>
    </row>
    <row r="28" customFormat="false" ht="15.75" hidden="false" customHeight="true" outlineLevel="0" collapsed="false">
      <c r="A28" s="12" t="s">
        <v>18</v>
      </c>
      <c r="B28" s="13"/>
      <c r="C28" s="14" t="n">
        <v>0.465277777777778</v>
      </c>
      <c r="D28" s="14" t="n">
        <v>0.625</v>
      </c>
      <c r="E28" s="15" t="n">
        <f aca="false">IF(C28="","",D28-C28)</f>
        <v>0.159722222222222</v>
      </c>
      <c r="F28" s="14" t="n">
        <v>0.666666666666667</v>
      </c>
      <c r="G28" s="14" t="n">
        <v>0.798611111111111</v>
      </c>
      <c r="H28" s="15" t="n">
        <f aca="false">IF(F28="","",G28-F28)</f>
        <v>0.131944444444444</v>
      </c>
      <c r="I28" s="16" t="n">
        <f aca="false">IF(H28="",IF(E28="","",IF(E28&lt;$C$2,"# Matin 1",IF(E28&gt;$D$2,"# Matin 2",E28))
),IF(E28="",IF(H28&lt;$C$2,"# AprèsMidi 1",IF(H28&gt;$D$2,"# AprèsMidi 2",H28)
),IF(H28&gt;$D$2,"# AprèsMidi 2",IF(E28&gt;$D$2,"# Matin 2",IF((F28-D28)&gt;$B$2,"# Repas 1", IF((F28-D28)&lt;$A$2,"# Repas 2",IF((E28+H28)&lt;$E$2,"# Jour 1",IF((E28+H28)&gt;$F$2,"# Jour 2",E28+H28))))))))</f>
        <v>0.291666666666667</v>
      </c>
      <c r="J28" s="3"/>
      <c r="K28" s="14"/>
      <c r="L28" s="14"/>
      <c r="M28" s="15" t="str">
        <f aca="false">IF(K28="","",L28-K28)</f>
        <v/>
      </c>
      <c r="N28" s="14"/>
      <c r="O28" s="14"/>
      <c r="P28" s="15" t="str">
        <f aca="false">IF(N28="","",O28-N28)</f>
        <v/>
      </c>
      <c r="Q28" s="16" t="str">
        <f aca="false">IF(P28="",IF(M28="","",IF(M28&lt;$C$2,"# Matin 1",IF(M28&gt;$D$2,"# Matin 2",M28))
),IF(M28="",IF(P28&lt;$C$2,"# AprèsMidi 1",IF(P28&gt;$D$2,"# AprèsMidi 2",P28)
),IF(P28&gt;$D$2,"# AprèsMidi 2",IF(M28&gt;$D$2,"# Matin 2",IF((N28-L28)&gt;$B$2,"# Repas 1", IF((N28-L28)&lt;$A$2,"# Repas 2",IF((M28+P28)&lt;$E$2,"# Jour 1",IF((M28+P28)&gt;$F$2,"# Jour 2",M28+P28))))))))</f>
        <v/>
      </c>
      <c r="S28" s="14"/>
      <c r="T28" s="14"/>
      <c r="U28" s="15" t="str">
        <f aca="false">IF(S28="","",T28-S28)</f>
        <v/>
      </c>
      <c r="V28" s="14"/>
      <c r="W28" s="14"/>
      <c r="X28" s="15" t="str">
        <f aca="false">IF(V28="","",W28-V28)</f>
        <v/>
      </c>
      <c r="Y28" s="16" t="str">
        <f aca="false">IF(X28="",IF(U28="","",IF(U28&lt;$C$2,"# Matin 1",IF(U28&gt;$D$2,"# Matin 2",U28))
),IF(U28="",IF(X28&lt;$C$2,"# AprèsMidi 1",IF(X28&gt;$D$2,"# AprèsMidi 2",X28)
),IF(X28&gt;$D$2,"# AprèsMidi 2",IF(U28&gt;$D$2,"# Matin 2",IF((V28-T28)&gt;$B$2,"# Repas 1", IF((V28-T28)&lt;$A$2,"# Repas 2",IF((U28+X28)&lt;$E$2,"# Jour 1",IF((U28+X28)&gt;$F$2,"# Jour 2",U28+X28))))))))</f>
        <v/>
      </c>
      <c r="AA28" s="14" t="n">
        <v>0.451388888888889</v>
      </c>
      <c r="AB28" s="14" t="n">
        <v>0.583333333333333</v>
      </c>
      <c r="AC28" s="15" t="n">
        <f aca="false">IF(AA28="","",AB28-AA28)</f>
        <v>0.131944444444444</v>
      </c>
      <c r="AD28" s="14" t="n">
        <v>0.625</v>
      </c>
      <c r="AE28" s="14" t="n">
        <v>0.798611111111111</v>
      </c>
      <c r="AF28" s="15" t="n">
        <f aca="false">IF(AD28="","",AE28-AD28)</f>
        <v>0.173611111111111</v>
      </c>
      <c r="AG28" s="16" t="n">
        <f aca="false">IF(AF28="",IF(AC28="","",IF(AC28&lt;$C$2,"# Matin 1",IF(AC28&gt;$D$2,"# Matin 2",AC28))
),IF(AC28="",IF(AF28&lt;$C$2,"# AprèsMidi 1",IF(AF28&gt;$D$2,"# AprèsMidi 2",AF28)
),IF(AF28&gt;$D$2,"# AprèsMidi 2",IF(AC28&gt;$D$2,"# Matin 2",IF((AD28-AB28)&gt;$B$2,"# Repas 1", IF((AD28-AB28)&lt;$A$2,"# Repas 2",IF((AC28+AF28)&lt;$E$2,"# Jour 1",IF((AC28+AF28)&gt;$F$2,"# Jour 2",AC28+AF28))))))))</f>
        <v>0.305555555555556</v>
      </c>
    </row>
    <row r="29" customFormat="false" ht="17.25" hidden="false" customHeight="true" outlineLevel="0" collapsed="false">
      <c r="A29" s="3"/>
      <c r="B29" s="3"/>
      <c r="C29" s="3"/>
      <c r="D29" s="3"/>
      <c r="E29" s="17" t="s">
        <v>19</v>
      </c>
      <c r="F29" s="18"/>
      <c r="G29" s="19"/>
      <c r="H29" s="19"/>
      <c r="I29" s="20" t="n">
        <f aca="false">SUM(I22:I28)</f>
        <v>1.45833333333333</v>
      </c>
      <c r="J29" s="3"/>
      <c r="K29" s="3"/>
      <c r="L29" s="3"/>
      <c r="M29" s="17" t="s">
        <v>19</v>
      </c>
      <c r="N29" s="18"/>
      <c r="O29" s="19"/>
      <c r="P29" s="19"/>
      <c r="Q29" s="20" t="n">
        <f aca="false">SUM(Q22:Q28)</f>
        <v>1.45833333333333</v>
      </c>
      <c r="S29" s="3"/>
      <c r="T29" s="3"/>
      <c r="U29" s="17" t="s">
        <v>19</v>
      </c>
      <c r="V29" s="18"/>
      <c r="W29" s="19"/>
      <c r="X29" s="21"/>
      <c r="Y29" s="20" t="n">
        <f aca="false">SUM(Y22:Y28)</f>
        <v>1.04166666666667</v>
      </c>
      <c r="AA29" s="3"/>
      <c r="AB29" s="3"/>
      <c r="AC29" s="17" t="s">
        <v>19</v>
      </c>
      <c r="AD29" s="18"/>
      <c r="AE29" s="19"/>
      <c r="AF29" s="21"/>
      <c r="AG29" s="20" t="n">
        <f aca="false">SUM(AG22:AG28)</f>
        <v>0.625</v>
      </c>
    </row>
    <row r="30" customFormat="false" ht="16.5" hidden="false" customHeight="true" outlineLevel="0" collapsed="false">
      <c r="A30" s="3"/>
      <c r="B30" s="3"/>
      <c r="C30" s="3"/>
      <c r="D30" s="3"/>
      <c r="E30" s="3"/>
      <c r="F30" s="3"/>
      <c r="G30" s="3"/>
      <c r="H30" s="3"/>
      <c r="I30" s="22" t="str">
        <f aca="false">IF(I29&lt;&gt;$I$2,"# Semaine 2","Ok Tps plein")</f>
        <v>Ok Tps plein</v>
      </c>
      <c r="J30" s="3"/>
      <c r="K30" s="3"/>
      <c r="L30" s="3"/>
      <c r="M30" s="3"/>
      <c r="N30" s="3"/>
      <c r="O30" s="3"/>
      <c r="P30" s="3"/>
      <c r="Q30" s="22" t="str">
        <f aca="false">IF(Q29&lt;&gt;$I$2,"# Semaine 2","Ok Tps plein")</f>
        <v>Ok Tps plein</v>
      </c>
      <c r="S30" s="3"/>
      <c r="T30" s="3"/>
      <c r="U30" s="3"/>
      <c r="V30" s="3"/>
      <c r="W30" s="3"/>
      <c r="X30" s="3"/>
      <c r="Y30" s="22" t="str">
        <f aca="false">+IF(OR((Y29&gt;$H$2),(Y29&lt;$G$2)),"# Semaine 1","Ok")</f>
        <v>Ok</v>
      </c>
      <c r="AA30" s="3"/>
      <c r="AB30" s="3"/>
      <c r="AC30" s="3"/>
      <c r="AD30" s="3"/>
      <c r="AE30" s="3"/>
      <c r="AF30" s="3"/>
      <c r="AG30" s="22" t="str">
        <f aca="false">+IF(OR((AG29&gt;$H$2),(AG29&lt;$G$2)),"# Semaine 1","Ok")</f>
        <v># Semaine 1</v>
      </c>
    </row>
    <row r="31" customFormat="false" ht="15.75" hidden="false" customHeight="true" outlineLevel="0" collapsed="false">
      <c r="A31" s="1"/>
      <c r="B31" s="3"/>
      <c r="C31" s="3"/>
      <c r="D31" s="3"/>
      <c r="E31" s="3"/>
      <c r="F31" s="3"/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S31" s="3"/>
      <c r="T31" s="3"/>
      <c r="U31" s="3"/>
      <c r="V31" s="3"/>
      <c r="W31" s="3"/>
      <c r="X31" s="3"/>
      <c r="Y31" s="3"/>
      <c r="AA31" s="3"/>
      <c r="AB31" s="3"/>
      <c r="AC31" s="3"/>
      <c r="AD31" s="3"/>
      <c r="AE31" s="3"/>
      <c r="AF31" s="3"/>
      <c r="AG31" s="3"/>
    </row>
    <row r="32" customFormat="false" ht="17.25" hidden="false" customHeight="true" outlineLevel="0" collapsed="false">
      <c r="A32" s="3"/>
      <c r="B32" s="3"/>
      <c r="C32" s="8" t="s">
        <v>24</v>
      </c>
      <c r="D32" s="8"/>
      <c r="E32" s="8"/>
      <c r="F32" s="8"/>
      <c r="G32" s="8"/>
      <c r="H32" s="8"/>
      <c r="I32" s="8"/>
      <c r="J32" s="3"/>
      <c r="K32" s="8" t="s">
        <v>25</v>
      </c>
      <c r="L32" s="8"/>
      <c r="M32" s="8"/>
      <c r="N32" s="8"/>
      <c r="O32" s="8"/>
      <c r="P32" s="8"/>
      <c r="Q32" s="8"/>
      <c r="S32" s="8" t="s">
        <v>26</v>
      </c>
      <c r="T32" s="8"/>
      <c r="U32" s="8"/>
      <c r="V32" s="8"/>
      <c r="W32" s="8"/>
      <c r="X32" s="8"/>
      <c r="Y32" s="8"/>
      <c r="AA32" s="8" t="s">
        <v>27</v>
      </c>
      <c r="AB32" s="8"/>
      <c r="AC32" s="8"/>
      <c r="AD32" s="8"/>
      <c r="AE32" s="8"/>
      <c r="AF32" s="8"/>
      <c r="AG32" s="8"/>
    </row>
    <row r="33" customFormat="false" ht="15.75" hidden="false" customHeight="true" outlineLevel="0" collapsed="false">
      <c r="A33" s="3"/>
      <c r="B33" s="3"/>
      <c r="C33" s="3"/>
      <c r="D33" s="3"/>
      <c r="E33" s="3"/>
      <c r="F33" s="3"/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S33" s="3"/>
      <c r="T33" s="3"/>
      <c r="U33" s="3"/>
      <c r="V33" s="3"/>
      <c r="W33" s="3"/>
      <c r="X33" s="3"/>
      <c r="Y33" s="3"/>
      <c r="AA33" s="3"/>
      <c r="AB33" s="3"/>
      <c r="AC33" s="3"/>
      <c r="AD33" s="3"/>
      <c r="AE33" s="3"/>
      <c r="AF33" s="3"/>
      <c r="AG33" s="3"/>
    </row>
    <row r="34" customFormat="false" ht="15.75" hidden="false" customHeight="true" outlineLevel="0" collapsed="false">
      <c r="A34" s="3"/>
      <c r="B34" s="3" t="s">
        <v>8</v>
      </c>
      <c r="C34" s="9" t="s">
        <v>9</v>
      </c>
      <c r="D34" s="9"/>
      <c r="E34" s="10"/>
      <c r="F34" s="9" t="s">
        <v>10</v>
      </c>
      <c r="G34" s="9"/>
      <c r="H34" s="10"/>
      <c r="I34" s="9" t="s">
        <v>11</v>
      </c>
      <c r="J34" s="3"/>
      <c r="K34" s="9" t="s">
        <v>9</v>
      </c>
      <c r="L34" s="9"/>
      <c r="M34" s="10"/>
      <c r="N34" s="9" t="s">
        <v>10</v>
      </c>
      <c r="O34" s="9"/>
      <c r="P34" s="10"/>
      <c r="Q34" s="9" t="s">
        <v>11</v>
      </c>
      <c r="S34" s="9" t="s">
        <v>9</v>
      </c>
      <c r="T34" s="9"/>
      <c r="U34" s="10"/>
      <c r="V34" s="9" t="s">
        <v>10</v>
      </c>
      <c r="W34" s="9"/>
      <c r="X34" s="10"/>
      <c r="Y34" s="11" t="s">
        <v>11</v>
      </c>
      <c r="AA34" s="9" t="s">
        <v>9</v>
      </c>
      <c r="AB34" s="9"/>
      <c r="AC34" s="10"/>
      <c r="AD34" s="9" t="s">
        <v>10</v>
      </c>
      <c r="AE34" s="9"/>
      <c r="AF34" s="10"/>
      <c r="AG34" s="11" t="s">
        <v>11</v>
      </c>
    </row>
    <row r="35" customFormat="false" ht="15" hidden="false" customHeight="false" outlineLevel="0" collapsed="false">
      <c r="A35" s="12" t="s">
        <v>12</v>
      </c>
      <c r="B35" s="13"/>
      <c r="C35" s="14"/>
      <c r="D35" s="14"/>
      <c r="E35" s="15" t="str">
        <f aca="false">IF(C35="","",D35-C35)</f>
        <v/>
      </c>
      <c r="F35" s="14"/>
      <c r="G35" s="14"/>
      <c r="H35" s="15" t="str">
        <f aca="false">IF(F35="","",G35-F35)</f>
        <v/>
      </c>
      <c r="I35" s="16" t="str">
        <f aca="false">IF(H35="",IF(E35="","",IF(E35&lt;$C$2,"# Matin 1",IF(E35&gt;$D$2,"# Matin 2",E35))
),IF(E35="",IF(H35&lt;$C$2,"# AprèsMidi 1",IF(H35&gt;$D$2,"# AprèsMidi 2",H35)
),IF(H35&gt;$D$2,"# AprèsMidi 2",IF(E35&gt;$D$2,"# Matin 2",IF((F35-D35)&gt;$B$2,"# Repas 1", IF((F35-D35)&lt;$A$2,"# Repas 2",IF((E35+H35)&lt;$E$2,"# Jour 1",IF((E35+H35)&gt;$F$2,"# Jour 2",E35+H35))))))))</f>
        <v/>
      </c>
      <c r="J35" s="3"/>
      <c r="K35" s="14" t="n">
        <v>0.409722222222222</v>
      </c>
      <c r="L35" s="14" t="n">
        <v>0.583333333333333</v>
      </c>
      <c r="M35" s="15" t="n">
        <f aca="false">IF(K35="","",L35-K35)</f>
        <v>0.173611111111111</v>
      </c>
      <c r="N35" s="14" t="n">
        <v>0.625</v>
      </c>
      <c r="O35" s="14" t="n">
        <v>0.743055555555556</v>
      </c>
      <c r="P35" s="15" t="n">
        <f aca="false">IF(N35="","",O35-N35)</f>
        <v>0.118055555555556</v>
      </c>
      <c r="Q35" s="16" t="n">
        <f aca="false">IF(P35="",IF(M35="","",IF(M35&lt;$C$2,"# Matin 1",IF(M35&gt;$D$2,"# Matin 2",M35))
),IF(M35="",IF(P35&lt;$C$2,"# AprèsMidi 1",IF(P35&gt;$D$2,"# AprèsMidi 2",P35)
),IF(P35&gt;$D$2,"# AprèsMidi 2",IF(M35&gt;$D$2,"# Matin 2",IF((N35-L35)&gt;$B$2,"# Repas 1", IF((N35-L35)&lt;$A$2,"# Repas 2",IF((M35+P35)&lt;$E$2,"# Jour 1",IF((M35+P35)&gt;$F$2,"# Jour 2",M35+P35))))))))</f>
        <v>0.291666666666667</v>
      </c>
      <c r="S35" s="14" t="n">
        <v>0.517361111111111</v>
      </c>
      <c r="T35" s="14" t="n">
        <v>0.625</v>
      </c>
      <c r="U35" s="15" t="n">
        <f aca="false">IF(S35="","",T35-S35)</f>
        <v>0.107638888888889</v>
      </c>
      <c r="V35" s="14" t="n">
        <v>0.666666666666667</v>
      </c>
      <c r="W35" s="14" t="n">
        <v>0.819444444444444</v>
      </c>
      <c r="X35" s="15" t="n">
        <f aca="false">IF(V35="","",W35-V35)</f>
        <v>0.152777777777778</v>
      </c>
      <c r="Y35" s="16" t="n">
        <f aca="false">IF(X35="",IF(U35="","",IF(U35&lt;$C$2,"# Matin 1",IF(U35&gt;$D$2,"# Matin 2",U35))
),IF(U35="",IF(X35&lt;$C$2,"# AprèsMidi 1",IF(X35&gt;$D$2,"# AprèsMidi 2",X35)
),IF(X35&gt;$D$2,"# AprèsMidi 2",IF(U35&gt;$D$2,"# Matin 2",IF((V35-T35)&gt;$B$2,"# Repas 1", IF((V35-T35)&lt;$A$2,"# Repas 2",IF((U35+X35)&lt;$E$2,"# Jour 1",IF((U35+X35)&gt;$F$2,"# Jour 2",U35+X35))))))))</f>
        <v>0.260416666666667</v>
      </c>
      <c r="AA35" s="14"/>
      <c r="AB35" s="14"/>
      <c r="AC35" s="15" t="str">
        <f aca="false">IF(AA35="","",AB35-AA35)</f>
        <v/>
      </c>
      <c r="AD35" s="14"/>
      <c r="AE35" s="14"/>
      <c r="AF35" s="15" t="str">
        <f aca="false">IF(AD35="","",AE35-AD35)</f>
        <v/>
      </c>
      <c r="AG35" s="16" t="str">
        <f aca="false">IF(AF35="",IF(AC35="","",IF(AC35&lt;$C$2,"# Matin 1",IF(AC35&gt;$D$2,"# Matin 2",AC35))
),IF(AC35="",IF(AF35&lt;$C$2,"# AprèsMidi 1",IF(AF35&gt;$D$2,"# AprèsMidi 2",AF35)
),IF(AF35&gt;$D$2,"# AprèsMidi 2",IF(AC35&gt;$D$2,"# Matin 2",IF((AD35-AB35)&gt;$B$2,"# Repas 1", IF((AD35-AB35)&lt;$A$2,"# Repas 2",IF((AC35+AF35)&lt;$E$2,"# Jour 1",IF((AC35+AF35)&gt;$F$2,"# Jour 2",AC35+AF35))))))))</f>
        <v/>
      </c>
    </row>
    <row r="36" customFormat="false" ht="15" hidden="false" customHeight="false" outlineLevel="0" collapsed="false">
      <c r="A36" s="12" t="s">
        <v>13</v>
      </c>
      <c r="B36" s="13"/>
      <c r="C36" s="14" t="n">
        <v>0.409722222222222</v>
      </c>
      <c r="D36" s="14" t="n">
        <v>0.583333333333333</v>
      </c>
      <c r="E36" s="15" t="n">
        <f aca="false">IF(C36="","",D36-C36)</f>
        <v>0.173611111111111</v>
      </c>
      <c r="F36" s="14" t="n">
        <v>0.625</v>
      </c>
      <c r="G36" s="14" t="n">
        <v>0.743055555555556</v>
      </c>
      <c r="H36" s="15" t="n">
        <f aca="false">IF(F36="","",G36-F36)</f>
        <v>0.118055555555556</v>
      </c>
      <c r="I36" s="16" t="n">
        <f aca="false">IF(H36="",IF(E36="","",IF(E36&lt;$C$2,"# Matin 1",IF(E36&gt;$D$2,"# Matin 2",E36))
),IF(E36="",IF(H36&lt;$C$2,"# AprèsMidi 1",IF(H36&gt;$D$2,"# AprèsMidi 2",H36)
),IF(H36&gt;$D$2,"# AprèsMidi 2",IF(E36&gt;$D$2,"# Matin 2",IF((F36-D36)&gt;$B$2,"# Repas 1", IF((F36-D36)&lt;$A$2,"# Repas 2",IF((E36+H36)&lt;$E$2,"# Jour 1",IF((E36+H36)&gt;$F$2,"# Jour 2",E36+H36))))))))</f>
        <v>0.291666666666667</v>
      </c>
      <c r="J36" s="3"/>
      <c r="K36" s="14" t="n">
        <v>0.409722222222222</v>
      </c>
      <c r="L36" s="14" t="n">
        <v>0.583333333333333</v>
      </c>
      <c r="M36" s="15" t="n">
        <f aca="false">IF(K36="","",L36-K36)</f>
        <v>0.173611111111111</v>
      </c>
      <c r="N36" s="14" t="n">
        <v>0.625</v>
      </c>
      <c r="O36" s="14" t="n">
        <v>0.743055555555556</v>
      </c>
      <c r="P36" s="15" t="n">
        <f aca="false">IF(N36="","",O36-N36)</f>
        <v>0.118055555555556</v>
      </c>
      <c r="Q36" s="16" t="n">
        <f aca="false">IF(P36="",IF(M36="","",IF(M36&lt;$C$2,"# Matin 1",IF(M36&gt;$D$2,"# Matin 2",M36))
),IF(M36="",IF(P36&lt;$C$2,"# AprèsMidi 1",IF(P36&gt;$D$2,"# AprèsMidi 2",P36)
),IF(P36&gt;$D$2,"# AprèsMidi 2",IF(M36&gt;$D$2,"# Matin 2",IF((N36-L36)&gt;$B$2,"# Repas 1", IF((N36-L36)&lt;$A$2,"# Repas 2",IF((M36+P36)&lt;$E$2,"# Jour 1",IF((M36+P36)&gt;$F$2,"# Jour 2",M36+P36))))))))</f>
        <v>0.291666666666667</v>
      </c>
      <c r="S36" s="14" t="n">
        <v>0.517361111111111</v>
      </c>
      <c r="T36" s="14" t="n">
        <v>0.625</v>
      </c>
      <c r="U36" s="15" t="n">
        <f aca="false">IF(S36="","",T36-S36)</f>
        <v>0.107638888888889</v>
      </c>
      <c r="V36" s="14" t="n">
        <v>0.666666666666667</v>
      </c>
      <c r="W36" s="14" t="n">
        <v>0.819444444444444</v>
      </c>
      <c r="X36" s="15" t="n">
        <f aca="false">IF(V36="","",W36-V36)</f>
        <v>0.152777777777778</v>
      </c>
      <c r="Y36" s="16" t="n">
        <f aca="false">IF(X36="",IF(U36="","",IF(U36&lt;$C$2,"# Matin 1",IF(U36&gt;$D$2,"# Matin 2",U36))
),IF(U36="",IF(X36&lt;$C$2,"# AprèsMidi 1",IF(X36&gt;$D$2,"# AprèsMidi 2",X36)
),IF(X36&gt;$D$2,"# AprèsMidi 2",IF(U36&gt;$D$2,"# Matin 2",IF((V36-T36)&gt;$B$2,"# Repas 1", IF((V36-T36)&lt;$A$2,"# Repas 2",IF((U36+X36)&lt;$E$2,"# Jour 1",IF((U36+X36)&gt;$F$2,"# Jour 2",U36+X36))))))))</f>
        <v>0.260416666666667</v>
      </c>
      <c r="AA36" s="14"/>
      <c r="AB36" s="14"/>
      <c r="AC36" s="15" t="str">
        <f aca="false">IF(AA36="","",AB36-AA36)</f>
        <v/>
      </c>
      <c r="AD36" s="14"/>
      <c r="AE36" s="14"/>
      <c r="AF36" s="15" t="str">
        <f aca="false">IF(AD36="","",AE36-AD36)</f>
        <v/>
      </c>
      <c r="AG36" s="16" t="str">
        <f aca="false">IF(AF36="",IF(AC36="","",IF(AC36&lt;$C$2,"# Matin 1",IF(AC36&gt;$D$2,"# Matin 2",AC36))
),IF(AC36="",IF(AF36&lt;$C$2,"# AprèsMidi 1",IF(AF36&gt;$D$2,"# AprèsMidi 2",AF36)
),IF(AF36&gt;$D$2,"# AprèsMidi 2",IF(AC36&gt;$D$2,"# Matin 2",IF((AD36-AB36)&gt;$B$2,"# Repas 1", IF((AD36-AB36)&lt;$A$2,"# Repas 2",IF((AC36+AF36)&lt;$E$2,"# Jour 1",IF((AC36+AF36)&gt;$F$2,"# Jour 2",AC36+AF36))))))))</f>
        <v/>
      </c>
    </row>
    <row r="37" customFormat="false" ht="15" hidden="false" customHeight="false" outlineLevel="0" collapsed="false">
      <c r="A37" s="12" t="s">
        <v>14</v>
      </c>
      <c r="B37" s="13"/>
      <c r="C37" s="14" t="n">
        <v>0.486111111111111</v>
      </c>
      <c r="D37" s="14" t="n">
        <v>0.625</v>
      </c>
      <c r="E37" s="15" t="n">
        <f aca="false">IF(C37="","",D37-C37)</f>
        <v>0.138888888888889</v>
      </c>
      <c r="F37" s="14" t="n">
        <v>0.666666666666667</v>
      </c>
      <c r="G37" s="14" t="n">
        <v>0.819444444444444</v>
      </c>
      <c r="H37" s="15" t="n">
        <f aca="false">IF(F37="","",G37-F37)</f>
        <v>0.152777777777778</v>
      </c>
      <c r="I37" s="16" t="n">
        <f aca="false">IF(H37="",IF(E37="","",IF(E37&lt;$C$2,"# Matin 1",IF(E37&gt;$D$2,"# Matin 2",E37))
),IF(E37="",IF(H37&lt;$C$2,"# AprèsMidi 1",IF(H37&gt;$D$2,"# AprèsMidi 2",H37)
),IF(H37&gt;$D$2,"# AprèsMidi 2",IF(E37&gt;$D$2,"# Matin 2",IF((F37-D37)&gt;$B$2,"# Repas 1", IF((F37-D37)&lt;$A$2,"# Repas 2",IF((E37+H37)&lt;$E$2,"# Jour 1",IF((E37+H37)&gt;$F$2,"# Jour 2",E37+H37))))))))</f>
        <v>0.291666666666667</v>
      </c>
      <c r="J37" s="3"/>
      <c r="K37" s="14" t="n">
        <v>0.409722222222222</v>
      </c>
      <c r="L37" s="14" t="n">
        <v>0.583333333333333</v>
      </c>
      <c r="M37" s="15" t="n">
        <f aca="false">IF(K37="","",L37-K37)</f>
        <v>0.173611111111111</v>
      </c>
      <c r="N37" s="14" t="n">
        <v>0.625</v>
      </c>
      <c r="O37" s="14" t="n">
        <v>0.743055555555556</v>
      </c>
      <c r="P37" s="15" t="n">
        <f aca="false">IF(N37="","",O37-N37)</f>
        <v>0.118055555555556</v>
      </c>
      <c r="Q37" s="16" t="n">
        <f aca="false">IF(P37="",IF(M37="","",IF(M37&lt;$C$2,"# Matin 1",IF(M37&gt;$D$2,"# Matin 2",M37))
),IF(M37="",IF(P37&lt;$C$2,"# AprèsMidi 1",IF(P37&gt;$D$2,"# AprèsMidi 2",P37)
),IF(P37&gt;$D$2,"# AprèsMidi 2",IF(M37&gt;$D$2,"# Matin 2",IF((N37-L37)&gt;$B$2,"# Repas 1", IF((N37-L37)&lt;$A$2,"# Repas 2",IF((M37+P37)&lt;$E$2,"# Jour 1",IF((M37+P37)&gt;$F$2,"# Jour 2",M37+P37))))))))</f>
        <v>0.291666666666667</v>
      </c>
      <c r="S37" s="14"/>
      <c r="T37" s="14"/>
      <c r="U37" s="15" t="str">
        <f aca="false">IF(S37="","",T37-S37)</f>
        <v/>
      </c>
      <c r="V37" s="14"/>
      <c r="W37" s="14"/>
      <c r="X37" s="15" t="str">
        <f aca="false">IF(V37="","",W37-V37)</f>
        <v/>
      </c>
      <c r="Y37" s="16" t="str">
        <f aca="false">IF(X37="",IF(U37="","",IF(U37&lt;$C$2,"# Matin 1",IF(U37&gt;$D$2,"# Matin 2",U37))
),IF(U37="",IF(X37&lt;$C$2,"# AprèsMidi 1",IF(X37&gt;$D$2,"# AprèsMidi 2",X37)
),IF(X37&gt;$D$2,"# AprèsMidi 2",IF(U37&gt;$D$2,"# Matin 2",IF((V37-T37)&gt;$B$2,"# Repas 1", IF((V37-T37)&lt;$A$2,"# Repas 2",IF((U37+X37)&lt;$E$2,"# Jour 1",IF((U37+X37)&gt;$F$2,"# Jour 2",U37+X37))))))))</f>
        <v/>
      </c>
      <c r="AA37" s="14"/>
      <c r="AB37" s="14"/>
      <c r="AC37" s="15" t="str">
        <f aca="false">IF(AA37="","",AB37-AA37)</f>
        <v/>
      </c>
      <c r="AD37" s="14"/>
      <c r="AE37" s="14"/>
      <c r="AF37" s="15" t="str">
        <f aca="false">IF(AD37="","",AE37-AD37)</f>
        <v/>
      </c>
      <c r="AG37" s="16" t="str">
        <f aca="false">IF(AF37="",IF(AC37="","",IF(AC37&lt;$C$2,"# Matin 1",IF(AC37&gt;$D$2,"# Matin 2",AC37))
),IF(AC37="",IF(AF37&lt;$C$2,"# AprèsMidi 1",IF(AF37&gt;$D$2,"# AprèsMidi 2",AF37)
),IF(AF37&gt;$D$2,"# AprèsMidi 2",IF(AC37&gt;$D$2,"# Matin 2",IF((AD37-AB37)&gt;$B$2,"# Repas 1", IF((AD37-AB37)&lt;$A$2,"# Repas 2",IF((AC37+AF37)&lt;$E$2,"# Jour 1",IF((AC37+AF37)&gt;$F$2,"# Jour 2",AC37+AF37))))))))</f>
        <v/>
      </c>
    </row>
    <row r="38" customFormat="false" ht="15" hidden="false" customHeight="false" outlineLevel="0" collapsed="false">
      <c r="A38" s="12" t="s">
        <v>15</v>
      </c>
      <c r="B38" s="13"/>
      <c r="C38" s="14" t="n">
        <v>0.458333333333333</v>
      </c>
      <c r="D38" s="14" t="n">
        <v>0.583333333333333</v>
      </c>
      <c r="E38" s="15" t="n">
        <f aca="false">IF(C38="","",D38-C38)</f>
        <v>0.125</v>
      </c>
      <c r="F38" s="14" t="n">
        <v>0.625</v>
      </c>
      <c r="G38" s="14" t="n">
        <v>0.791666666666667</v>
      </c>
      <c r="H38" s="15" t="n">
        <f aca="false">IF(F38="","",G38-F38)</f>
        <v>0.166666666666667</v>
      </c>
      <c r="I38" s="16" t="n">
        <f aca="false">IF(H38="",IF(E38="","",IF(E38&lt;$C$2,"# Matin 1",IF(E38&gt;$D$2,"# Matin 2",E38))
),IF(E38="",IF(H38&lt;$C$2,"# AprèsMidi 1",IF(H38&gt;$D$2,"# AprèsMidi 2",H38)
),IF(H38&gt;$D$2,"# AprèsMidi 2",IF(E38&gt;$D$2,"# Matin 2",IF((F38-D38)&gt;$B$2,"# Repas 1", IF((F38-D38)&lt;$A$2,"# Repas 2",IF((E38+H38)&lt;$E$2,"# Jour 1",IF((E38+H38)&gt;$F$2,"# Jour 2",E38+H38))))))))</f>
        <v>0.291666666666667</v>
      </c>
      <c r="J38" s="3"/>
      <c r="K38" s="14" t="n">
        <v>0.409722222222222</v>
      </c>
      <c r="L38" s="14" t="n">
        <v>0.583333333333333</v>
      </c>
      <c r="M38" s="15" t="n">
        <f aca="false">IF(K38="","",L38-K38)</f>
        <v>0.173611111111111</v>
      </c>
      <c r="N38" s="14" t="n">
        <v>0.625</v>
      </c>
      <c r="O38" s="14" t="n">
        <v>0.743055555555556</v>
      </c>
      <c r="P38" s="15" t="n">
        <f aca="false">IF(N38="","",O38-N38)</f>
        <v>0.118055555555556</v>
      </c>
      <c r="Q38" s="16" t="n">
        <f aca="false">IF(P38="",IF(M38="","",IF(M38&lt;$C$2,"# Matin 1",IF(M38&gt;$D$2,"# Matin 2",M38))
),IF(M38="",IF(P38&lt;$C$2,"# AprèsMidi 1",IF(P38&gt;$D$2,"# AprèsMidi 2",P38)
),IF(P38&gt;$D$2,"# AprèsMidi 2",IF(M38&gt;$D$2,"# Matin 2",IF((N38-L38)&gt;$B$2,"# Repas 1", IF((N38-L38)&lt;$A$2,"# Repas 2",IF((M38+P38)&lt;$E$2,"# Jour 1",IF((M38+P38)&gt;$F$2,"# Jour 2",M38+P38))))))))</f>
        <v>0.291666666666667</v>
      </c>
      <c r="S38" s="14" t="n">
        <v>0.517361111111111</v>
      </c>
      <c r="T38" s="14" t="n">
        <v>0.625</v>
      </c>
      <c r="U38" s="15" t="n">
        <f aca="false">IF(S38="","",T38-S38)</f>
        <v>0.107638888888889</v>
      </c>
      <c r="V38" s="14" t="n">
        <v>0.666666666666667</v>
      </c>
      <c r="W38" s="14" t="n">
        <v>0.819444444444444</v>
      </c>
      <c r="X38" s="15" t="n">
        <f aca="false">IF(V38="","",W38-V38)</f>
        <v>0.152777777777778</v>
      </c>
      <c r="Y38" s="16" t="n">
        <f aca="false">IF(X38="",IF(U38="","",IF(U38&lt;$C$2,"# Matin 1",IF(U38&gt;$D$2,"# Matin 2",U38))
),IF(U38="",IF(X38&lt;$C$2,"# AprèsMidi 1",IF(X38&gt;$D$2,"# AprèsMidi 2",X38)
),IF(X38&gt;$D$2,"# AprèsMidi 2",IF(U38&gt;$D$2,"# Matin 2",IF((V38-T38)&gt;$B$2,"# Repas 1", IF((V38-T38)&lt;$A$2,"# Repas 2",IF((U38+X38)&lt;$E$2,"# Jour 1",IF((U38+X38)&gt;$F$2,"# Jour 2",U38+X38))))))))</f>
        <v>0.260416666666667</v>
      </c>
      <c r="AA38" s="14"/>
      <c r="AB38" s="14"/>
      <c r="AC38" s="15" t="str">
        <f aca="false">IF(AA38="","",AB38-AA38)</f>
        <v/>
      </c>
      <c r="AD38" s="14"/>
      <c r="AE38" s="14"/>
      <c r="AF38" s="15" t="str">
        <f aca="false">IF(AD38="","",AE38-AD38)</f>
        <v/>
      </c>
      <c r="AG38" s="16" t="str">
        <f aca="false">IF(AF38="",IF(AC38="","",IF(AC38&lt;$C$2,"# Matin 1",IF(AC38&gt;$D$2,"# Matin 2",AC38))
),IF(AC38="",IF(AF38&lt;$C$2,"# AprèsMidi 1",IF(AF38&gt;$D$2,"# AprèsMidi 2",AF38)
),IF(AF38&gt;$D$2,"# AprèsMidi 2",IF(AC38&gt;$D$2,"# Matin 2",IF((AD38-AB38)&gt;$B$2,"# Repas 1", IF((AD38-AB38)&lt;$A$2,"# Repas 2",IF((AC38+AF38)&lt;$E$2,"# Jour 1",IF((AC38+AF38)&gt;$F$2,"# Jour 2",AC38+AF38))))))))</f>
        <v/>
      </c>
    </row>
    <row r="39" customFormat="false" ht="15" hidden="false" customHeight="false" outlineLevel="0" collapsed="false">
      <c r="A39" s="12" t="s">
        <v>16</v>
      </c>
      <c r="B39" s="13"/>
      <c r="C39" s="14" t="n">
        <v>0.486111111111111</v>
      </c>
      <c r="D39" s="14" t="n">
        <v>0.625</v>
      </c>
      <c r="E39" s="15" t="n">
        <f aca="false">IF(C39="","",D39-C39)</f>
        <v>0.138888888888889</v>
      </c>
      <c r="F39" s="14" t="n">
        <v>0.666666666666667</v>
      </c>
      <c r="G39" s="14" t="n">
        <v>0.819444444444444</v>
      </c>
      <c r="H39" s="15" t="n">
        <f aca="false">IF(F39="","",G39-F39)</f>
        <v>0.152777777777778</v>
      </c>
      <c r="I39" s="16" t="n">
        <f aca="false">IF(H39="",IF(E39="","",IF(E39&lt;$C$2,"# Matin 1",IF(E39&gt;$D$2,"# Matin 2",E39))
),IF(E39="",IF(H39&lt;$C$2,"# AprèsMidi 1",IF(H39&gt;$D$2,"# AprèsMidi 2",H39)
),IF(H39&gt;$D$2,"# AprèsMidi 2",IF(E39&gt;$D$2,"# Matin 2",IF((F39-D39)&gt;$B$2,"# Repas 1", IF((F39-D39)&lt;$A$2,"# Repas 2",IF((E39+H39)&lt;$E$2,"# Jour 1",IF((E39+H39)&gt;$F$2,"# Jour 2",E39+H39))))))))</f>
        <v>0.291666666666667</v>
      </c>
      <c r="J39" s="3"/>
      <c r="K39" s="14" t="n">
        <v>0.409722222222222</v>
      </c>
      <c r="L39" s="14" t="n">
        <v>0.583333333333333</v>
      </c>
      <c r="M39" s="15" t="n">
        <f aca="false">IF(K39="","",L39-K39)</f>
        <v>0.173611111111111</v>
      </c>
      <c r="N39" s="14" t="n">
        <v>0.625</v>
      </c>
      <c r="O39" s="14" t="n">
        <v>0.743055555555556</v>
      </c>
      <c r="P39" s="15" t="n">
        <f aca="false">IF(N39="","",O39-N39)</f>
        <v>0.118055555555556</v>
      </c>
      <c r="Q39" s="16" t="n">
        <f aca="false">IF(P39="",IF(M39="","",IF(M39&lt;$C$2,"# Matin 1",IF(M39&gt;$D$2,"# Matin 2",M39))
),IF(M39="",IF(P39&lt;$C$2,"# AprèsMidi 1",IF(P39&gt;$D$2,"# AprèsMidi 2",P39)
),IF(P39&gt;$D$2,"# AprèsMidi 2",IF(M39&gt;$D$2,"# Matin 2",IF((N39-L39)&gt;$B$2,"# Repas 1", IF((N39-L39)&lt;$A$2,"# Repas 2",IF((M39+P39)&lt;$E$2,"# Jour 1",IF((M39+P39)&gt;$F$2,"# Jour 2",M39+P39))))))))</f>
        <v>0.291666666666667</v>
      </c>
      <c r="S39" s="14"/>
      <c r="T39" s="14"/>
      <c r="U39" s="15" t="str">
        <f aca="false">IF(S39="","",T39-S39)</f>
        <v/>
      </c>
      <c r="V39" s="14"/>
      <c r="W39" s="14"/>
      <c r="X39" s="15" t="str">
        <f aca="false">IF(V39="","",W39-V39)</f>
        <v/>
      </c>
      <c r="Y39" s="16" t="str">
        <f aca="false">IF(X39="",IF(U39="","",IF(U39&lt;$C$2,"# Matin 1",IF(U39&gt;$D$2,"# Matin 2",U39))
),IF(U39="",IF(X39&lt;$C$2,"# AprèsMidi 1",IF(X39&gt;$D$2,"# AprèsMidi 2",X39)
),IF(X39&gt;$D$2,"# AprèsMidi 2",IF(U39&gt;$D$2,"# Matin 2",IF((V39-T39)&gt;$B$2,"# Repas 1", IF((V39-T39)&lt;$A$2,"# Repas 2",IF((U39+X39)&lt;$E$2,"# Jour 1",IF((U39+X39)&gt;$F$2,"# Jour 2",U39+X39))))))))</f>
        <v/>
      </c>
      <c r="AA39" s="14"/>
      <c r="AB39" s="14"/>
      <c r="AC39" s="15" t="str">
        <f aca="false">IF(AA39="","",AB39-AA39)</f>
        <v/>
      </c>
      <c r="AD39" s="14"/>
      <c r="AE39" s="14"/>
      <c r="AF39" s="15" t="str">
        <f aca="false">IF(AD39="","",AE39-AD39)</f>
        <v/>
      </c>
      <c r="AG39" s="16" t="str">
        <f aca="false">IF(AF39="",IF(AC39="","",IF(AC39&lt;$C$2,"# Matin 1",IF(AC39&gt;$D$2,"# Matin 2",AC39))
),IF(AC39="",IF(AF39&lt;$C$2,"# AprèsMidi 1",IF(AF39&gt;$D$2,"# AprèsMidi 2",AF39)
),IF(AF39&gt;$D$2,"# AprèsMidi 2",IF(AC39&gt;$D$2,"# Matin 2",IF((AD39-AB39)&gt;$B$2,"# Repas 1", IF((AD39-AB39)&lt;$A$2,"# Repas 2",IF((AC39+AF39)&lt;$E$2,"# Jour 1",IF((AC39+AF39)&gt;$F$2,"# Jour 2",AC39+AF39))))))))</f>
        <v/>
      </c>
    </row>
    <row r="40" customFormat="false" ht="15" hidden="false" customHeight="false" outlineLevel="0" collapsed="false">
      <c r="A40" s="12" t="s">
        <v>17</v>
      </c>
      <c r="B40" s="13"/>
      <c r="C40" s="14" t="n">
        <v>0.486111111111111</v>
      </c>
      <c r="D40" s="14" t="n">
        <v>0.625</v>
      </c>
      <c r="E40" s="15" t="n">
        <f aca="false">IF(C40="","",D40-C40)</f>
        <v>0.138888888888889</v>
      </c>
      <c r="F40" s="14" t="n">
        <v>0.666666666666667</v>
      </c>
      <c r="G40" s="14" t="n">
        <v>0.819444444444444</v>
      </c>
      <c r="H40" s="15" t="n">
        <f aca="false">IF(F40="","",G40-F40)</f>
        <v>0.152777777777778</v>
      </c>
      <c r="I40" s="16" t="n">
        <f aca="false">IF(H40="",IF(E40="","",IF(E40&lt;$C$2,"# Matin 1",IF(E40&gt;$D$2,"# Matin 2",E40))
),IF(E40="",IF(H40&lt;$C$2,"# AprèsMidi 1",IF(H40&gt;$D$2,"# AprèsMidi 2",H40)
),IF(H40&gt;$D$2,"# AprèsMidi 2",IF(E40&gt;$D$2,"# Matin 2",IF((F40-D40)&gt;$B$2,"# Repas 1", IF((F40-D40)&lt;$A$2,"# Repas 2",IF((E40+H40)&lt;$E$2,"# Jour 1",IF((E40+H40)&gt;$F$2,"# Jour 2",E40+H40))))))))</f>
        <v>0.291666666666667</v>
      </c>
      <c r="J40" s="3"/>
      <c r="K40" s="14"/>
      <c r="L40" s="14"/>
      <c r="M40" s="15" t="str">
        <f aca="false">IF(K40="","",L40-K40)</f>
        <v/>
      </c>
      <c r="N40" s="14"/>
      <c r="O40" s="14"/>
      <c r="P40" s="15" t="str">
        <f aca="false">IF(N40="","",O40-N40)</f>
        <v/>
      </c>
      <c r="Q40" s="16" t="str">
        <f aca="false">IF(P40="",IF(M40="","",IF(M40&lt;$C$2,"# Matin 1",IF(M40&gt;$D$2,"# Matin 2",M40))
),IF(M40="",IF(P40&lt;$C$2,"# AprèsMidi 1",IF(P40&gt;$D$2,"# AprèsMidi 2",P40)
),IF(P40&gt;$D$2,"# AprèsMidi 2",IF(M40&gt;$D$2,"# Matin 2",IF((N40-L40)&gt;$B$2,"# Repas 1", IF((N40-L40)&lt;$A$2,"# Repas 2",IF((M40+P40)&lt;$E$2,"# Jour 1",IF((M40+P40)&gt;$F$2,"# Jour 2",M40+P40))))))))</f>
        <v/>
      </c>
      <c r="S40" s="14"/>
      <c r="T40" s="14"/>
      <c r="U40" s="15" t="str">
        <f aca="false">IF(S40="","",T40-S40)</f>
        <v/>
      </c>
      <c r="V40" s="14"/>
      <c r="W40" s="14"/>
      <c r="X40" s="15" t="str">
        <f aca="false">IF(V40="","",W40-V40)</f>
        <v/>
      </c>
      <c r="Y40" s="16" t="str">
        <f aca="false">IF(X40="",IF(U40="","",IF(U40&lt;$C$2,"# Matin 1",IF(U40&gt;$D$2,"# Matin 2",U40))
),IF(U40="",IF(X40&lt;$C$2,"# AprèsMidi 1",IF(X40&gt;$D$2,"# AprèsMidi 2",X40)
),IF(X40&gt;$D$2,"# AprèsMidi 2",IF(U40&gt;$D$2,"# Matin 2",IF((V40-T40)&gt;$B$2,"# Repas 1", IF((V40-T40)&lt;$A$2,"# Repas 2",IF((U40+X40)&lt;$E$2,"# Jour 1",IF((U40+X40)&gt;$F$2,"# Jour 2",U40+X40))))))))</f>
        <v/>
      </c>
      <c r="AA40" s="14" t="n">
        <v>0.409722222222222</v>
      </c>
      <c r="AB40" s="14" t="n">
        <v>0.583333333333333</v>
      </c>
      <c r="AC40" s="15" t="n">
        <f aca="false">IF(AA40="","",AB40-AA40)</f>
        <v>0.173611111111111</v>
      </c>
      <c r="AD40" s="14" t="n">
        <v>0.625</v>
      </c>
      <c r="AE40" s="14" t="n">
        <v>0.770833333333333</v>
      </c>
      <c r="AF40" s="15" t="n">
        <f aca="false">IF(AD40="","",AE40-AD40)</f>
        <v>0.145833333333333</v>
      </c>
      <c r="AG40" s="16" t="n">
        <f aca="false">IF(AF40="",IF(AC40="","",IF(AC40&lt;$C$2,"# Matin 1",IF(AC40&gt;$D$2,"# Matin 2",AC40))
),IF(AC40="",IF(AF40&lt;$C$2,"# AprèsMidi 1",IF(AF40&gt;$D$2,"# AprèsMidi 2",AF40)
),IF(AF40&gt;$D$2,"# AprèsMidi 2",IF(AC40&gt;$D$2,"# Matin 2",IF((AD40-AB40)&gt;$B$2,"# Repas 1", IF((AD40-AB40)&lt;$A$2,"# Repas 2",IF((AC40+AF40)&lt;$E$2,"# Jour 1",IF((AC40+AF40)&gt;$F$2,"# Jour 2",AC40+AF40))))))))</f>
        <v>0.319444444444444</v>
      </c>
    </row>
    <row r="41" customFormat="false" ht="15.75" hidden="false" customHeight="true" outlineLevel="0" collapsed="false">
      <c r="A41" s="12" t="s">
        <v>18</v>
      </c>
      <c r="B41" s="13"/>
      <c r="C41" s="14"/>
      <c r="D41" s="14"/>
      <c r="E41" s="15" t="str">
        <f aca="false">IF(C41="","",D41-C41)</f>
        <v/>
      </c>
      <c r="F41" s="14"/>
      <c r="G41" s="14"/>
      <c r="H41" s="15" t="str">
        <f aca="false">IF(F41="","",G41-F41)</f>
        <v/>
      </c>
      <c r="I41" s="16" t="str">
        <f aca="false">IF(H41="",IF(E41="","",IF(E41&lt;$C$2,"# Matin 1",IF(E41&gt;$D$2,"# Matin 2",E41))
),IF(E41="",IF(H41&lt;$C$2,"# AprèsMidi 1",IF(H41&gt;$D$2,"# AprèsMidi 2",H41)
),IF(H41&gt;$D$2,"# AprèsMidi 2",IF(E41&gt;$D$2,"# Matin 2",IF((F41-D41)&gt;$B$2,"# Repas 1", IF((F41-D41)&lt;$A$2,"# Repas 2",IF((E41+H41)&lt;$E$2,"# Jour 1",IF((E41+H41)&gt;$F$2,"# Jour 2",E41+H41))))))))</f>
        <v/>
      </c>
      <c r="J41" s="3"/>
      <c r="K41" s="14"/>
      <c r="L41" s="14"/>
      <c r="M41" s="15" t="str">
        <f aca="false">IF(K41="","",L41-K41)</f>
        <v/>
      </c>
      <c r="N41" s="14"/>
      <c r="O41" s="14"/>
      <c r="P41" s="15" t="str">
        <f aca="false">IF(N41="","",O41-N41)</f>
        <v/>
      </c>
      <c r="Q41" s="16" t="str">
        <f aca="false">IF(P41="",IF(M41="","",IF(M41&lt;$C$2,"# Matin 1",IF(M41&gt;$D$2,"# Matin 2",M41))
),IF(M41="",IF(P41&lt;$C$2,"# AprèsMidi 1",IF(P41&gt;$D$2,"# AprèsMidi 2",P41)
),IF(P41&gt;$D$2,"# AprèsMidi 2",IF(M41&gt;$D$2,"# Matin 2",IF((N41-L41)&gt;$B$2,"# Repas 1", IF((N41-L41)&lt;$A$2,"# Repas 2",IF((M41+P41)&lt;$E$2,"# Jour 1",IF((M41+P41)&gt;$F$2,"# Jour 2",M41+P41))))))))</f>
        <v/>
      </c>
      <c r="S41" s="14" t="n">
        <v>0.496527777777778</v>
      </c>
      <c r="T41" s="14" t="n">
        <v>0.625</v>
      </c>
      <c r="U41" s="15" t="n">
        <f aca="false">IF(S41="","",T41-S41)</f>
        <v>0.128472222222222</v>
      </c>
      <c r="V41" s="14" t="n">
        <v>0.666666666666667</v>
      </c>
      <c r="W41" s="14" t="n">
        <v>0.798611111111111</v>
      </c>
      <c r="X41" s="15" t="n">
        <f aca="false">IF(V41="","",W41-V41)</f>
        <v>0.131944444444444</v>
      </c>
      <c r="Y41" s="16" t="n">
        <f aca="false">IF(X41="",IF(U41="","",IF(U41&lt;$C$2,"# Matin 1",IF(U41&gt;$D$2,"# Matin 2",U41))
),IF(U41="",IF(X41&lt;$C$2,"# AprèsMidi 1",IF(X41&gt;$D$2,"# AprèsMidi 2",X41)
),IF(X41&gt;$D$2,"# AprèsMidi 2",IF(U41&gt;$D$2,"# Matin 2",IF((V41-T41)&gt;$B$2,"# Repas 1", IF((V41-T41)&lt;$A$2,"# Repas 2",IF((U41+X41)&lt;$E$2,"# Jour 1",IF((U41+X41)&gt;$F$2,"# Jour 2",U41+X41))))))))</f>
        <v>0.260416666666667</v>
      </c>
      <c r="AA41" s="14" t="n">
        <v>0.451388888888889</v>
      </c>
      <c r="AB41" s="14" t="n">
        <v>0.583333333333333</v>
      </c>
      <c r="AC41" s="15" t="n">
        <f aca="false">IF(AA41="","",AB41-AA41)</f>
        <v>0.131944444444444</v>
      </c>
      <c r="AD41" s="14" t="n">
        <v>0.625</v>
      </c>
      <c r="AE41" s="14" t="n">
        <v>0.798611111111111</v>
      </c>
      <c r="AF41" s="15" t="n">
        <f aca="false">IF(AD41="","",AE41-AD41)</f>
        <v>0.173611111111111</v>
      </c>
      <c r="AG41" s="16" t="n">
        <f aca="false">IF(AF41="",IF(AC41="","",IF(AC41&lt;$C$2,"# Matin 1",IF(AC41&gt;$D$2,"# Matin 2",AC41))
),IF(AC41="",IF(AF41&lt;$C$2,"# AprèsMidi 1",IF(AF41&gt;$D$2,"# AprèsMidi 2",AF41)
),IF(AF41&gt;$D$2,"# AprèsMidi 2",IF(AC41&gt;$D$2,"# Matin 2",IF((AD41-AB41)&gt;$B$2,"# Repas 1", IF((AD41-AB41)&lt;$A$2,"# Repas 2",IF((AC41+AF41)&lt;$E$2,"# Jour 1",IF((AC41+AF41)&gt;$F$2,"# Jour 2",AC41+AF41))))))))</f>
        <v>0.305555555555556</v>
      </c>
    </row>
    <row r="42" customFormat="false" ht="17.25" hidden="false" customHeight="true" outlineLevel="0" collapsed="false">
      <c r="A42" s="3"/>
      <c r="B42" s="3"/>
      <c r="C42" s="3"/>
      <c r="D42" s="3"/>
      <c r="E42" s="17" t="s">
        <v>19</v>
      </c>
      <c r="F42" s="18"/>
      <c r="G42" s="19"/>
      <c r="H42" s="19"/>
      <c r="I42" s="20" t="n">
        <f aca="false">SUM(I35:I41)</f>
        <v>1.45833333333333</v>
      </c>
      <c r="J42" s="3"/>
      <c r="K42" s="3"/>
      <c r="L42" s="3"/>
      <c r="M42" s="17" t="s">
        <v>19</v>
      </c>
      <c r="N42" s="18"/>
      <c r="O42" s="19"/>
      <c r="P42" s="19"/>
      <c r="Q42" s="20" t="n">
        <f aca="false">SUM(Q35:Q41)</f>
        <v>1.45833333333333</v>
      </c>
      <c r="S42" s="3"/>
      <c r="T42" s="3"/>
      <c r="U42" s="17" t="s">
        <v>19</v>
      </c>
      <c r="V42" s="18"/>
      <c r="W42" s="19"/>
      <c r="X42" s="21"/>
      <c r="Y42" s="20" t="n">
        <f aca="false">SUM(Y35:Y41)</f>
        <v>1.04166666666667</v>
      </c>
      <c r="AA42" s="3"/>
      <c r="AB42" s="3"/>
      <c r="AC42" s="17" t="s">
        <v>19</v>
      </c>
      <c r="AD42" s="18"/>
      <c r="AE42" s="19"/>
      <c r="AF42" s="21"/>
      <c r="AG42" s="20" t="n">
        <f aca="false">SUM(AG35:AG41)</f>
        <v>0.625</v>
      </c>
    </row>
    <row r="43" customFormat="false" ht="16.5" hidden="false" customHeight="true" outlineLevel="0" collapsed="false">
      <c r="A43" s="3"/>
      <c r="B43" s="3"/>
      <c r="C43" s="3"/>
      <c r="D43" s="3"/>
      <c r="E43" s="3"/>
      <c r="F43" s="3"/>
      <c r="G43" s="3"/>
      <c r="H43" s="3"/>
      <c r="I43" s="22" t="str">
        <f aca="false">IF(I42&lt;&gt;$I$2,"# Semaine 2","Ok Tps plein")</f>
        <v>Ok Tps plein</v>
      </c>
      <c r="J43" s="3"/>
      <c r="K43" s="3"/>
      <c r="L43" s="3"/>
      <c r="M43" s="3"/>
      <c r="N43" s="3"/>
      <c r="O43" s="3"/>
      <c r="P43" s="3"/>
      <c r="Q43" s="22" t="str">
        <f aca="false">IF(Q42&lt;&gt;$I$2,"# Semaine 2","Ok Tps plein")</f>
        <v>Ok Tps plein</v>
      </c>
      <c r="S43" s="3"/>
      <c r="T43" s="3"/>
      <c r="U43" s="3"/>
      <c r="V43" s="3"/>
      <c r="W43" s="3"/>
      <c r="X43" s="3"/>
      <c r="Y43" s="22" t="str">
        <f aca="false">+IF(OR((Y42&gt;$H$2),(Y42&lt;$G$2)),"# Semaine 1","Ok")</f>
        <v>Ok</v>
      </c>
      <c r="AA43" s="3"/>
      <c r="AB43" s="3"/>
      <c r="AC43" s="3"/>
      <c r="AD43" s="3"/>
      <c r="AE43" s="3"/>
      <c r="AF43" s="3"/>
      <c r="AG43" s="22" t="str">
        <f aca="false">+IF(OR((AG42&gt;$H$2),(AG42&lt;$G$2)),"# Semaine 1","Ok")</f>
        <v># Semaine 1</v>
      </c>
    </row>
    <row r="44" customFormat="false" ht="15.75" hidden="false" customHeight="true" outlineLevel="0" collapsed="false"/>
    <row r="45" customFormat="false" ht="15" hidden="false" customHeight="false" outlineLevel="0" collapsed="false">
      <c r="A45" s="23" t="s">
        <v>28</v>
      </c>
      <c r="B45" s="24"/>
      <c r="C45" s="24"/>
      <c r="D45" s="24"/>
      <c r="E45" s="24"/>
      <c r="F45" s="24"/>
      <c r="G45" s="24"/>
      <c r="H45" s="24"/>
      <c r="I45" s="24"/>
      <c r="J45" s="24"/>
      <c r="K45" s="25"/>
    </row>
    <row r="46" customFormat="false" ht="15" hidden="false" customHeight="false" outlineLevel="0" collapsed="false">
      <c r="A46" s="26" t="s">
        <v>29</v>
      </c>
      <c r="B46" s="27"/>
      <c r="C46" s="27"/>
      <c r="D46" s="27"/>
      <c r="E46" s="27"/>
      <c r="F46" s="27"/>
      <c r="G46" s="27"/>
      <c r="H46" s="27"/>
      <c r="I46" s="27"/>
      <c r="J46" s="27"/>
      <c r="K46" s="28"/>
    </row>
    <row r="47" customFormat="false" ht="15" hidden="false" customHeight="false" outlineLevel="0" collapsed="false">
      <c r="A47" s="26" t="s">
        <v>30</v>
      </c>
      <c r="B47" s="27"/>
      <c r="C47" s="27"/>
      <c r="D47" s="27"/>
      <c r="E47" s="27"/>
      <c r="F47" s="27"/>
      <c r="G47" s="27"/>
      <c r="H47" s="27"/>
      <c r="I47" s="27"/>
      <c r="J47" s="27"/>
      <c r="K47" s="28"/>
    </row>
    <row r="48" customFormat="false" ht="15" hidden="false" customHeight="false" outlineLevel="0" collapsed="false">
      <c r="A48" s="26" t="s">
        <v>31</v>
      </c>
      <c r="B48" s="27"/>
      <c r="C48" s="27"/>
      <c r="D48" s="27"/>
      <c r="E48" s="27"/>
      <c r="F48" s="27"/>
      <c r="G48" s="27"/>
      <c r="H48" s="27"/>
      <c r="I48" s="27"/>
      <c r="J48" s="27"/>
      <c r="K48" s="28"/>
    </row>
    <row r="49" customFormat="false" ht="15" hidden="false" customHeight="false" outlineLevel="0" collapsed="false">
      <c r="A49" s="26" t="s">
        <v>32</v>
      </c>
      <c r="B49" s="27"/>
      <c r="C49" s="27"/>
      <c r="D49" s="27"/>
      <c r="E49" s="27"/>
      <c r="F49" s="27"/>
      <c r="G49" s="27"/>
      <c r="H49" s="27"/>
      <c r="I49" s="27"/>
      <c r="J49" s="27"/>
      <c r="K49" s="28"/>
    </row>
    <row r="50" customFormat="false" ht="15" hidden="false" customHeight="false" outlineLevel="0" collapsed="false">
      <c r="A50" s="26" t="s">
        <v>33</v>
      </c>
      <c r="B50" s="27"/>
      <c r="C50" s="27"/>
      <c r="D50" s="27"/>
      <c r="E50" s="27"/>
      <c r="F50" s="27"/>
      <c r="G50" s="27"/>
      <c r="H50" s="27"/>
      <c r="I50" s="27"/>
      <c r="J50" s="27"/>
      <c r="K50" s="28"/>
    </row>
    <row r="51" customFormat="false" ht="15" hidden="false" customHeight="false" outlineLevel="0" collapsed="false">
      <c r="A51" s="26" t="s">
        <v>34</v>
      </c>
      <c r="B51" s="27"/>
      <c r="C51" s="27"/>
      <c r="D51" s="27"/>
      <c r="E51" s="27"/>
      <c r="F51" s="27"/>
      <c r="G51" s="27"/>
      <c r="H51" s="27"/>
      <c r="I51" s="27"/>
      <c r="J51" s="27"/>
      <c r="K51" s="28"/>
    </row>
    <row r="52" customFormat="false" ht="15" hidden="false" customHeight="false" outlineLevel="0" collapsed="false">
      <c r="A52" s="26" t="s">
        <v>35</v>
      </c>
      <c r="B52" s="27"/>
      <c r="C52" s="27"/>
      <c r="D52" s="27"/>
      <c r="E52" s="27"/>
      <c r="F52" s="27"/>
      <c r="G52" s="27"/>
      <c r="H52" s="27"/>
      <c r="I52" s="27"/>
      <c r="J52" s="27"/>
      <c r="K52" s="28"/>
    </row>
    <row r="53" customFormat="false" ht="15" hidden="false" customHeight="false" outlineLevel="0" collapsed="false">
      <c r="A53" s="26" t="s">
        <v>36</v>
      </c>
      <c r="B53" s="27"/>
      <c r="C53" s="27"/>
      <c r="D53" s="27"/>
      <c r="E53" s="27"/>
      <c r="F53" s="27"/>
      <c r="G53" s="27"/>
      <c r="H53" s="27"/>
      <c r="I53" s="27"/>
      <c r="J53" s="27"/>
      <c r="K53" s="28"/>
    </row>
    <row r="54" customFormat="false" ht="15" hidden="false" customHeight="false" outlineLevel="0" collapsed="false">
      <c r="A54" s="29" t="s">
        <v>37</v>
      </c>
      <c r="B54" s="30"/>
      <c r="C54" s="30"/>
      <c r="D54" s="30"/>
      <c r="E54" s="30"/>
      <c r="F54" s="30"/>
      <c r="G54" s="30"/>
      <c r="H54" s="30"/>
      <c r="I54" s="30"/>
      <c r="J54" s="27"/>
      <c r="K54" s="28"/>
    </row>
    <row r="55" customFormat="false" ht="15" hidden="false" customHeight="false" outlineLevel="0" collapsed="false">
      <c r="A55" s="31" t="s">
        <v>38</v>
      </c>
      <c r="B55" s="32"/>
      <c r="C55" s="32"/>
      <c r="D55" s="32"/>
      <c r="E55" s="32"/>
      <c r="F55" s="32"/>
      <c r="G55" s="32"/>
      <c r="H55" s="27"/>
      <c r="I55" s="27"/>
      <c r="J55" s="27"/>
      <c r="K55" s="28"/>
    </row>
    <row r="56" customFormat="false" ht="15.75" hidden="false" customHeight="true" outlineLevel="0" collapsed="false">
      <c r="A56" s="33"/>
      <c r="B56" s="34"/>
      <c r="C56" s="34"/>
      <c r="D56" s="34"/>
      <c r="E56" s="34"/>
      <c r="F56" s="34"/>
      <c r="G56" s="34"/>
      <c r="H56" s="34"/>
      <c r="I56" s="34"/>
      <c r="J56" s="34"/>
      <c r="K56" s="35"/>
    </row>
  </sheetData>
  <mergeCells count="38">
    <mergeCell ref="B1:F1"/>
    <mergeCell ref="D3:G3"/>
    <mergeCell ref="C6:I6"/>
    <mergeCell ref="K6:Q6"/>
    <mergeCell ref="S6:Y6"/>
    <mergeCell ref="AA6:AG6"/>
    <mergeCell ref="C8:D8"/>
    <mergeCell ref="F8:G8"/>
    <mergeCell ref="K8:L8"/>
    <mergeCell ref="N8:O8"/>
    <mergeCell ref="S8:T8"/>
    <mergeCell ref="V8:W8"/>
    <mergeCell ref="AA8:AB8"/>
    <mergeCell ref="AD8:AE8"/>
    <mergeCell ref="C19:I19"/>
    <mergeCell ref="K19:Q19"/>
    <mergeCell ref="S19:Y19"/>
    <mergeCell ref="AA19:AG19"/>
    <mergeCell ref="C21:D21"/>
    <mergeCell ref="F21:G21"/>
    <mergeCell ref="K21:L21"/>
    <mergeCell ref="N21:O21"/>
    <mergeCell ref="S21:T21"/>
    <mergeCell ref="V21:W21"/>
    <mergeCell ref="AA21:AB21"/>
    <mergeCell ref="AD21:AE21"/>
    <mergeCell ref="C32:I32"/>
    <mergeCell ref="K32:Q32"/>
    <mergeCell ref="S32:Y32"/>
    <mergeCell ref="AA32:AG32"/>
    <mergeCell ref="C34:D34"/>
    <mergeCell ref="F34:G34"/>
    <mergeCell ref="K34:L34"/>
    <mergeCell ref="N34:O34"/>
    <mergeCell ref="S34:T34"/>
    <mergeCell ref="V34:W34"/>
    <mergeCell ref="AA34:AB34"/>
    <mergeCell ref="AD34:AE34"/>
  </mergeCells>
  <printOptions headings="false" gridLines="false" gridLinesSet="true" horizontalCentered="false" verticalCentered="false"/>
  <pageMargins left="0.25" right="0.25" top="0.75" bottom="0.75" header="0.511811023622047" footer="0.511811023622047"/>
  <pageSetup paperSize="9" scale="62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2024-08-24T11:11:25Z</dcterms:created>
  <dc:creator>C2E PARIS SEBASTOPOL</dc:creator>
  <dc:description/>
  <dc:language>en-US</dc:language>
  <cp:lastModifiedBy>C2€ PARIS SAINT ANTOINE</cp:lastModifiedBy>
  <cp:lastPrinted>2024-10-02T14:56:37Z</cp:lastPrinted>
  <dcterms:modified xsi:type="dcterms:W3CDTF">2026-10-28T22:32:57Z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